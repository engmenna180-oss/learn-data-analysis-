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depi\data\"/>
    </mc:Choice>
  </mc:AlternateContent>
  <xr:revisionPtr revIDLastSave="0" documentId="13_ncr:1_{9C76143A-E68D-4F0A-8265-3E9B1E64789E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AutoSum " sheetId="8" r:id="rId1"/>
    <sheet name="SUM, AVERAGE" sheetId="1" r:id="rId2"/>
    <sheet name="COUNT, COUNTA, COUNTBLANK" sheetId="2" r:id="rId3"/>
    <sheet name="Ex1 " sheetId="6" r:id="rId4"/>
    <sheet name="Ex2" sheetId="7" r:id="rId5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Fee_Table">#REF!</definedName>
    <definedName name="HelpURLTemplate">"http://office.microsoft.com/client/helppreview.aspx?AssetID=xxxxxxxxxx1033&amp;QueryID=03RAPgEGJ&amp;respos=1&amp;rt=2&amp;ns=EXCEL&amp;lcid=1033&amp;pid=CH100645391033"</definedName>
    <definedName name="integer">0</definedName>
    <definedName name="n">#REF!</definedName>
    <definedName name="nam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123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  <definedName name="Sales">#REF!</definedName>
    <definedName name="SalesDataAN">#REF!</definedName>
    <definedName name="SalesRep">#REF!</definedName>
    <definedName name="sd">#REF!</definedName>
    <definedName name="SRA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5" i="2"/>
  <c r="E4" i="2"/>
  <c r="C18" i="6"/>
  <c r="D18" i="6"/>
  <c r="E18" i="6"/>
  <c r="C17" i="6"/>
  <c r="D17" i="6"/>
  <c r="E17" i="6"/>
  <c r="B20" i="7"/>
  <c r="B19" i="7"/>
  <c r="B18" i="7"/>
  <c r="B17" i="7"/>
  <c r="B16" i="7"/>
  <c r="B15" i="7"/>
  <c r="B14" i="7"/>
  <c r="B18" i="6"/>
  <c r="C20" i="6"/>
  <c r="D20" i="6"/>
  <c r="E20" i="6"/>
  <c r="C21" i="6"/>
  <c r="D21" i="6"/>
  <c r="E21" i="6"/>
  <c r="F17" i="1"/>
  <c r="M8" i="8"/>
  <c r="N8" i="8"/>
  <c r="O8" i="8"/>
  <c r="L8" i="8"/>
  <c r="P4" i="8"/>
  <c r="P5" i="8"/>
  <c r="P6" i="8"/>
  <c r="P7" i="8"/>
  <c r="P3" i="8"/>
  <c r="B21" i="6"/>
  <c r="B20" i="6"/>
  <c r="C19" i="6"/>
  <c r="D19" i="6"/>
  <c r="E19" i="6"/>
  <c r="B19" i="6"/>
  <c r="B17" i="6"/>
  <c r="E28" i="1"/>
  <c r="E23" i="1"/>
  <c r="E17" i="1"/>
  <c r="E10" i="1"/>
  <c r="C10" i="1"/>
  <c r="D10" i="1"/>
  <c r="B10" i="1"/>
  <c r="I6" i="1"/>
  <c r="I7" i="1"/>
  <c r="H6" i="1"/>
  <c r="H7" i="1"/>
  <c r="H8" i="1"/>
  <c r="I5" i="1"/>
  <c r="H5" i="1"/>
  <c r="F6" i="1"/>
  <c r="F7" i="1"/>
  <c r="F8" i="1"/>
  <c r="F5" i="1"/>
  <c r="B9" i="1"/>
  <c r="C9" i="1"/>
  <c r="D9" i="1"/>
  <c r="E9" i="1"/>
  <c r="L1" i="8"/>
</calcChain>
</file>

<file path=xl/sharedStrings.xml><?xml version="1.0" encoding="utf-8"?>
<sst xmlns="http://schemas.openxmlformats.org/spreadsheetml/2006/main" count="89" uniqueCount="78">
  <si>
    <t xml:space="preserve">AutoSum </t>
  </si>
  <si>
    <t>AutoSum button on Home ribbon</t>
  </si>
  <si>
    <t>AutoSum button on Formulas ribbon</t>
  </si>
  <si>
    <t>Other "AutoSum" options</t>
  </si>
  <si>
    <t>SUM function (Math &amp; Trig Category)</t>
  </si>
  <si>
    <t>Ahmed</t>
  </si>
  <si>
    <t>Ali</t>
  </si>
  <si>
    <t>Ramy</t>
  </si>
  <si>
    <t>Nader</t>
  </si>
  <si>
    <t xml:space="preserve">Total </t>
  </si>
  <si>
    <t>Absolute reference $f$3</t>
  </si>
  <si>
    <t>Jan</t>
  </si>
  <si>
    <t>Relative reference f3</t>
  </si>
  <si>
    <t>Feb</t>
  </si>
  <si>
    <t>Mar</t>
  </si>
  <si>
    <t>Apr</t>
  </si>
  <si>
    <t>Total</t>
  </si>
  <si>
    <t>AVERAGE, Max, Min</t>
  </si>
  <si>
    <t>Student ID</t>
  </si>
  <si>
    <t>Exam score</t>
  </si>
  <si>
    <t xml:space="preserve">Average </t>
  </si>
  <si>
    <t>AverageA</t>
  </si>
  <si>
    <t>Absent</t>
  </si>
  <si>
    <t>Max</t>
  </si>
  <si>
    <t>Min</t>
  </si>
  <si>
    <t>COUNT, COUNTA, COUNTBLANK Functions (Statistical Category)</t>
  </si>
  <si>
    <t>Count</t>
  </si>
  <si>
    <t>CountA</t>
  </si>
  <si>
    <t>Countblank</t>
  </si>
  <si>
    <t>Text</t>
  </si>
  <si>
    <t>Fail</t>
  </si>
  <si>
    <t>Sales Report</t>
  </si>
  <si>
    <t>Category</t>
  </si>
  <si>
    <t>Qrt1</t>
  </si>
  <si>
    <t>Qrt2</t>
  </si>
  <si>
    <t>Qrt3</t>
  </si>
  <si>
    <t>Qrt4</t>
  </si>
  <si>
    <t>Notebooks</t>
  </si>
  <si>
    <t>Monitors</t>
  </si>
  <si>
    <t>Printers</t>
  </si>
  <si>
    <t>Memory</t>
  </si>
  <si>
    <t>Storage devices</t>
  </si>
  <si>
    <t>Modems</t>
  </si>
  <si>
    <t>Graphic cards</t>
  </si>
  <si>
    <t>Input devices</t>
  </si>
  <si>
    <t>Accessories</t>
  </si>
  <si>
    <t>Multimedia</t>
  </si>
  <si>
    <t>Scanners</t>
  </si>
  <si>
    <t>Sound cards</t>
  </si>
  <si>
    <t>Speakers</t>
  </si>
  <si>
    <t>Count Num</t>
  </si>
  <si>
    <t>Average</t>
  </si>
  <si>
    <t>Maximum</t>
  </si>
  <si>
    <t>Minimum</t>
  </si>
  <si>
    <t>Prices of vehicles sold last year at CARS Egypt</t>
  </si>
  <si>
    <t>May</t>
  </si>
  <si>
    <t>Jun</t>
  </si>
  <si>
    <t>Jul</t>
  </si>
  <si>
    <t>Aug</t>
  </si>
  <si>
    <t>Sep</t>
  </si>
  <si>
    <t>Oct</t>
  </si>
  <si>
    <t>Nov</t>
  </si>
  <si>
    <t>Dec</t>
  </si>
  <si>
    <t>TOYOTA</t>
  </si>
  <si>
    <t>Renault</t>
  </si>
  <si>
    <t>Verna</t>
  </si>
  <si>
    <t>Lada</t>
  </si>
  <si>
    <t>Nissan</t>
  </si>
  <si>
    <t>Opel</t>
  </si>
  <si>
    <t>Speranza</t>
  </si>
  <si>
    <t>Octavia</t>
  </si>
  <si>
    <t>Total Sales For the Whole Year</t>
  </si>
  <si>
    <t>Total Verna Sales</t>
  </si>
  <si>
    <t>Average Sales for the whole year</t>
  </si>
  <si>
    <t xml:space="preserve">Average Lada Sales </t>
  </si>
  <si>
    <t>Maximum Sales during the first Quarter</t>
  </si>
  <si>
    <t>Minimum Sales in May</t>
  </si>
  <si>
    <t xml:space="preserve"> # of Cars Models in the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</si>
</sst>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b/>
      <sz val="16"/>
      <color rgb="FFFF3399"/>
      <name val="Calibri"/>
      <family val="2"/>
      <scheme val="minor"/>
    </font>
    <font>
      <b/>
      <sz val="16"/>
      <name val="Cambria"/>
      <family val="1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2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horizontal="right"/>
    </xf>
    <xf numFmtId="164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1" fillId="0" borderId="0" xfId="1"/>
    <xf numFmtId="43" fontId="2" fillId="0" borderId="2" xfId="2" applyNumberFormat="1" applyFont="1" applyFill="1" applyBorder="1" applyAlignment="1">
      <alignment vertical="center"/>
    </xf>
    <xf numFmtId="43" fontId="4" fillId="0" borderId="0" xfId="1" applyNumberFormat="1" applyFont="1"/>
    <xf numFmtId="43" fontId="4" fillId="0" borderId="3" xfId="1" applyNumberFormat="1" applyFont="1" applyBorder="1"/>
    <xf numFmtId="43" fontId="5" fillId="0" borderId="0" xfId="2" applyNumberFormat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43" fontId="5" fillId="0" borderId="0" xfId="2" applyNumberFormat="1" applyFont="1" applyFill="1" applyAlignment="1">
      <alignment vertical="center"/>
    </xf>
    <xf numFmtId="44" fontId="5" fillId="0" borderId="0" xfId="2" applyFont="1" applyFill="1" applyBorder="1" applyAlignment="1">
      <alignment vertical="center"/>
    </xf>
    <xf numFmtId="0" fontId="5" fillId="0" borderId="0" xfId="1" applyFont="1" applyAlignment="1">
      <alignment vertical="center" wrapText="1"/>
    </xf>
    <xf numFmtId="0" fontId="5" fillId="0" borderId="0" xfId="1" applyFont="1"/>
    <xf numFmtId="0" fontId="1" fillId="0" borderId="0" xfId="3"/>
    <xf numFmtId="0" fontId="1" fillId="0" borderId="1" xfId="3" applyBorder="1"/>
    <xf numFmtId="1" fontId="7" fillId="0" borderId="1" xfId="3" applyNumberFormat="1" applyFont="1" applyBorder="1" applyAlignment="1" applyProtection="1">
      <alignment horizontal="center"/>
      <protection locked="0"/>
    </xf>
    <xf numFmtId="0" fontId="0" fillId="0" borderId="1" xfId="0" applyBorder="1"/>
    <xf numFmtId="0" fontId="6" fillId="2" borderId="4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11" fillId="2" borderId="5" xfId="3" applyFont="1" applyFill="1" applyBorder="1" applyAlignment="1">
      <alignment horizontal="center" vertical="center"/>
    </xf>
    <xf numFmtId="0" fontId="9" fillId="0" borderId="0" xfId="0" applyFont="1"/>
    <xf numFmtId="0" fontId="0" fillId="4" borderId="1" xfId="0" applyFill="1" applyBorder="1"/>
    <xf numFmtId="43" fontId="0" fillId="0" borderId="0" xfId="4" applyFont="1"/>
    <xf numFmtId="14" fontId="0" fillId="0" borderId="0" xfId="0" applyNumberFormat="1"/>
    <xf numFmtId="164" fontId="0" fillId="2" borderId="0" xfId="0" applyNumberFormat="1" applyFill="1"/>
    <xf numFmtId="1" fontId="0" fillId="2" borderId="1" xfId="0" applyNumberFormat="1" applyFill="1" applyBorder="1"/>
    <xf numFmtId="1" fontId="1" fillId="0" borderId="1" xfId="3" applyNumberFormat="1" applyBorder="1"/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/>
    <xf numFmtId="0" fontId="0" fillId="5" borderId="10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" xfId="0" applyFill="1" applyBorder="1"/>
    <xf numFmtId="0" fontId="10" fillId="2" borderId="0" xfId="1" applyFont="1" applyFill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3" borderId="7" xfId="3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</cellXfs>
  <cellStyles count="5">
    <cellStyle name="Comma" xfId="4" builtinId="3"/>
    <cellStyle name="Currency 2" xfId="2" xr:uid="{00000000-0005-0000-0000-000001000000}"/>
    <cellStyle name="Normal" xfId="0" builtinId="0"/>
    <cellStyle name="Normal 2" xfId="1" xr:uid="{00000000-0005-0000-0000-000003000000}"/>
    <cellStyle name="Normal 4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17</xdr:row>
      <xdr:rowOff>180975</xdr:rowOff>
    </xdr:from>
    <xdr:ext cx="1323975" cy="1350455"/>
    <xdr:pic>
      <xdr:nvPicPr>
        <xdr:cNvPr id="2" name="Picture 1" descr="C:\Users\Chris\Dropbox\ExcelNow\Images\AutoSum3.gif">
          <a:extLst>
            <a:ext uri="{FF2B5EF4-FFF2-40B4-BE49-F238E27FC236}">
              <a16:creationId xmlns:a16="http://schemas.microsoft.com/office/drawing/2014/main" id="{3AC40200-8421-4FCC-A71B-4F03D2D9D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3228975"/>
          <a:ext cx="1323975" cy="1350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</xdr:colOff>
      <xdr:row>3</xdr:row>
      <xdr:rowOff>123825</xdr:rowOff>
    </xdr:from>
    <xdr:ext cx="3086100" cy="885825"/>
    <xdr:pic>
      <xdr:nvPicPr>
        <xdr:cNvPr id="3" name="Picture 2" descr="C:\Users\Chris\Dropbox\ExcelNow\Images\AutoSum1.gif">
          <a:extLst>
            <a:ext uri="{FF2B5EF4-FFF2-40B4-BE49-F238E27FC236}">
              <a16:creationId xmlns:a16="http://schemas.microsoft.com/office/drawing/2014/main" id="{C30CEF31-AE5D-4DA9-98B7-4E3F4F819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504825"/>
          <a:ext cx="3086100" cy="88582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5048250" cy="895350"/>
    <xdr:pic>
      <xdr:nvPicPr>
        <xdr:cNvPr id="4" name="Picture 3" descr="C:\Users\Chris\Dropbox\ExcelNow\Images\AutoSum2.gif">
          <a:extLst>
            <a:ext uri="{FF2B5EF4-FFF2-40B4-BE49-F238E27FC236}">
              <a16:creationId xmlns:a16="http://schemas.microsoft.com/office/drawing/2014/main" id="{2ECC988B-27E0-4A17-95D3-B298200E1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5048250" cy="89535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zoomScale="57" zoomScaleNormal="57" workbookViewId="0">
      <selection activeCell="O8" sqref="O8"/>
    </sheetView>
  </sheetViews>
  <sheetFormatPr defaultRowHeight="15" customHeight="1" x14ac:dyDescent="0.35"/>
  <cols>
    <col min="11" max="11" width="11.453125" bestFit="1" customWidth="1"/>
    <col min="12" max="12" width="9.1796875" style="34"/>
    <col min="14" max="14" width="14" bestFit="1" customWidth="1"/>
    <col min="19" max="19" width="16.453125" customWidth="1"/>
  </cols>
  <sheetData>
    <row r="1" spans="1:19" ht="21" x14ac:dyDescent="0.5">
      <c r="A1" s="25" t="s">
        <v>0</v>
      </c>
      <c r="L1" s="34">
        <f>SUM(2,9)</f>
        <v>11</v>
      </c>
    </row>
    <row r="3" spans="1:19" ht="21.75" customHeight="1" x14ac:dyDescent="0.5">
      <c r="A3" s="25" t="s">
        <v>1</v>
      </c>
      <c r="L3" s="35">
        <v>500</v>
      </c>
      <c r="M3" s="32">
        <v>94</v>
      </c>
      <c r="N3" s="32">
        <v>15</v>
      </c>
      <c r="O3" s="32">
        <v>7</v>
      </c>
      <c r="P3" s="2">
        <f>SUM(L3:O3)</f>
        <v>616</v>
      </c>
    </row>
    <row r="4" spans="1:19" ht="15" customHeight="1" x14ac:dyDescent="0.35">
      <c r="L4" s="36">
        <v>37</v>
      </c>
      <c r="M4" s="33">
        <v>6</v>
      </c>
      <c r="N4" s="33">
        <v>2</v>
      </c>
      <c r="O4" s="33">
        <v>41</v>
      </c>
      <c r="P4" s="2">
        <f t="shared" ref="P4:P7" si="0">SUM(L4:O4)</f>
        <v>86</v>
      </c>
    </row>
    <row r="5" spans="1:19" ht="15" customHeight="1" x14ac:dyDescent="0.35">
      <c r="L5" s="36">
        <v>13</v>
      </c>
      <c r="M5" s="33">
        <v>83</v>
      </c>
      <c r="N5" s="33">
        <v>29</v>
      </c>
      <c r="O5" s="33">
        <v>88</v>
      </c>
      <c r="P5" s="2">
        <f t="shared" si="0"/>
        <v>213</v>
      </c>
      <c r="S5" s="28"/>
    </row>
    <row r="6" spans="1:19" ht="15" customHeight="1" x14ac:dyDescent="0.35">
      <c r="L6" s="36">
        <v>73</v>
      </c>
      <c r="M6" s="33">
        <v>64</v>
      </c>
      <c r="N6" s="33">
        <v>46</v>
      </c>
      <c r="O6" s="33">
        <v>32</v>
      </c>
      <c r="P6" s="2">
        <f t="shared" si="0"/>
        <v>215</v>
      </c>
    </row>
    <row r="7" spans="1:19" ht="15" customHeight="1" x14ac:dyDescent="0.35">
      <c r="L7" s="36">
        <v>38</v>
      </c>
      <c r="M7" s="33">
        <v>11</v>
      </c>
      <c r="N7" s="33">
        <v>3</v>
      </c>
      <c r="O7" s="33">
        <v>80</v>
      </c>
      <c r="P7" s="2">
        <f t="shared" si="0"/>
        <v>132</v>
      </c>
    </row>
    <row r="8" spans="1:19" ht="15" customHeight="1" x14ac:dyDescent="0.35">
      <c r="L8" s="37">
        <f>SUM(L3:L7)</f>
        <v>661</v>
      </c>
      <c r="M8" s="37">
        <f t="shared" ref="M8:O8" si="1">SUM(M3:M7)</f>
        <v>258</v>
      </c>
      <c r="N8" s="37">
        <f t="shared" si="1"/>
        <v>95</v>
      </c>
      <c r="O8" s="37">
        <f t="shared" si="1"/>
        <v>248</v>
      </c>
      <c r="P8" s="26"/>
    </row>
    <row r="9" spans="1:19" ht="26.25" customHeight="1" x14ac:dyDescent="0.5">
      <c r="A9" s="25" t="s">
        <v>2</v>
      </c>
    </row>
    <row r="14" spans="1:19" ht="15" customHeight="1" x14ac:dyDescent="0.35">
      <c r="N14" s="27"/>
    </row>
    <row r="17" spans="1:11" ht="15" customHeight="1" x14ac:dyDescent="0.5">
      <c r="A17" s="25" t="s">
        <v>3</v>
      </c>
    </row>
    <row r="18" spans="1:11" ht="15" customHeight="1" x14ac:dyDescent="0.35">
      <c r="K18" s="28"/>
    </row>
    <row r="19" spans="1:11" ht="15" customHeight="1" x14ac:dyDescent="0.35">
      <c r="K19" s="2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77"/>
  <sheetViews>
    <sheetView zoomScale="58" workbookViewId="0">
      <selection activeCell="E9" sqref="E9"/>
    </sheetView>
  </sheetViews>
  <sheetFormatPr defaultRowHeight="15" customHeight="1" x14ac:dyDescent="0.35"/>
  <cols>
    <col min="1" max="2" width="10.54296875" customWidth="1"/>
    <col min="5" max="5" width="18.1796875" customWidth="1"/>
    <col min="6" max="6" width="12.1796875" customWidth="1"/>
    <col min="7" max="9" width="9.1796875" customWidth="1"/>
    <col min="10" max="10" width="22" customWidth="1"/>
    <col min="11" max="13" width="9.1796875" customWidth="1"/>
    <col min="21" max="21" width="10.26953125" customWidth="1"/>
    <col min="22" max="22" width="10.81640625" customWidth="1"/>
    <col min="25" max="25" width="11" customWidth="1"/>
  </cols>
  <sheetData>
    <row r="2" spans="1:10" ht="21" x14ac:dyDescent="0.5">
      <c r="A2" s="39" t="s">
        <v>4</v>
      </c>
      <c r="B2" s="39"/>
      <c r="C2" s="39"/>
      <c r="D2" s="39"/>
      <c r="E2" s="39"/>
      <c r="F2" s="39"/>
    </row>
    <row r="3" spans="1:10" ht="15" customHeight="1" x14ac:dyDescent="0.35">
      <c r="I3">
        <v>1500</v>
      </c>
      <c r="J3">
        <v>2000</v>
      </c>
    </row>
    <row r="4" spans="1:10" ht="15" customHeight="1" x14ac:dyDescent="0.35"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J4" t="s">
        <v>10</v>
      </c>
    </row>
    <row r="5" spans="1:10" ht="15" customHeight="1" x14ac:dyDescent="0.35">
      <c r="A5" s="3" t="s">
        <v>11</v>
      </c>
      <c r="B5" s="5">
        <v>5800</v>
      </c>
      <c r="C5" s="5">
        <v>3600</v>
      </c>
      <c r="D5" s="5">
        <v>1200</v>
      </c>
      <c r="E5" s="5">
        <v>5700</v>
      </c>
      <c r="F5" s="29">
        <f>SUM(B5:E5)</f>
        <v>16300</v>
      </c>
      <c r="G5" s="5"/>
      <c r="H5" s="5">
        <f>SUM(F5,$I$3)</f>
        <v>17800</v>
      </c>
      <c r="I5" s="5">
        <f>SUM(F5,$I$3)</f>
        <v>17800</v>
      </c>
      <c r="J5" t="s">
        <v>12</v>
      </c>
    </row>
    <row r="6" spans="1:10" ht="15" customHeight="1" x14ac:dyDescent="0.35">
      <c r="A6" s="3" t="s">
        <v>13</v>
      </c>
      <c r="C6" s="5">
        <v>4000</v>
      </c>
      <c r="D6" s="5">
        <v>3500</v>
      </c>
      <c r="E6" s="5">
        <v>6100</v>
      </c>
      <c r="F6" s="29">
        <f>SUM(B6:E6)</f>
        <v>13600</v>
      </c>
      <c r="G6" s="5"/>
      <c r="H6" s="5">
        <f>SUM(F6,$I$3)</f>
        <v>15100</v>
      </c>
      <c r="I6" s="5">
        <f t="shared" ref="I6:I7" si="0">SUM(F6,$I$3)</f>
        <v>15100</v>
      </c>
    </row>
    <row r="7" spans="1:10" ht="15" customHeight="1" x14ac:dyDescent="0.35">
      <c r="A7" s="3" t="s">
        <v>14</v>
      </c>
      <c r="D7" s="5">
        <v>3000</v>
      </c>
      <c r="E7" s="5">
        <v>6100</v>
      </c>
      <c r="F7" s="29">
        <f>SUM(B7:E7)</f>
        <v>9100</v>
      </c>
      <c r="G7" s="5"/>
      <c r="H7" s="5">
        <f>SUM(F7,$I$3)</f>
        <v>10600</v>
      </c>
      <c r="I7" s="5">
        <f t="shared" si="0"/>
        <v>10600</v>
      </c>
    </row>
    <row r="8" spans="1:10" ht="15" customHeight="1" x14ac:dyDescent="0.35">
      <c r="A8" s="3" t="s">
        <v>15</v>
      </c>
      <c r="E8" s="5">
        <v>4300</v>
      </c>
      <c r="F8" s="29">
        <f>SUM(B8:E8)</f>
        <v>4300</v>
      </c>
      <c r="G8" s="5"/>
      <c r="H8" s="5">
        <f>SUM(F8,$I$3)</f>
        <v>5800</v>
      </c>
      <c r="I8" s="5"/>
    </row>
    <row r="9" spans="1:10" ht="15" customHeight="1" x14ac:dyDescent="0.35">
      <c r="A9" s="29" t="s">
        <v>16</v>
      </c>
      <c r="B9" s="29">
        <f t="shared" ref="B9:D9" si="1">SUM(B5:B8)</f>
        <v>5800</v>
      </c>
      <c r="C9" s="29">
        <f t="shared" si="1"/>
        <v>7600</v>
      </c>
      <c r="D9" s="29">
        <f t="shared" si="1"/>
        <v>7700</v>
      </c>
      <c r="E9" s="29">
        <f>SUM(E5:E8)</f>
        <v>22200</v>
      </c>
      <c r="G9" s="5"/>
    </row>
    <row r="10" spans="1:10" ht="15" customHeight="1" x14ac:dyDescent="0.35">
      <c r="B10" s="5">
        <f>SUM(B9,$J$3)</f>
        <v>7800</v>
      </c>
      <c r="C10" s="5">
        <f t="shared" ref="C10:D10" si="2">SUM(C9,$J$3)</f>
        <v>9600</v>
      </c>
      <c r="D10" s="5">
        <f t="shared" si="2"/>
        <v>9700</v>
      </c>
      <c r="E10" s="5">
        <f>SUM(E9,$J$3)</f>
        <v>24200</v>
      </c>
    </row>
    <row r="14" spans="1:10" ht="21" x14ac:dyDescent="0.5">
      <c r="A14" s="39" t="s">
        <v>17</v>
      </c>
      <c r="B14" s="39"/>
      <c r="C14" s="39"/>
      <c r="D14" s="39"/>
      <c r="E14" s="39"/>
      <c r="F14" s="39"/>
    </row>
    <row r="16" spans="1:10" ht="15" customHeight="1" x14ac:dyDescent="0.35">
      <c r="A16" s="1" t="s">
        <v>18</v>
      </c>
      <c r="B16" s="4" t="s">
        <v>19</v>
      </c>
      <c r="E16" t="s">
        <v>20</v>
      </c>
      <c r="F16" t="s">
        <v>21</v>
      </c>
    </row>
    <row r="17" spans="1:6" ht="15" customHeight="1" x14ac:dyDescent="0.35">
      <c r="A17" s="1">
        <v>1533</v>
      </c>
      <c r="B17">
        <v>68</v>
      </c>
      <c r="E17" s="30">
        <f>AVERAGE(B17:B77)</f>
        <v>72.172413793103445</v>
      </c>
      <c r="F17" s="30">
        <f>AVERAGEA(B17:B77)</f>
        <v>68.622950819672127</v>
      </c>
    </row>
    <row r="18" spans="1:6" ht="15" customHeight="1" x14ac:dyDescent="0.35">
      <c r="A18" s="1">
        <v>8031</v>
      </c>
      <c r="B18">
        <v>74</v>
      </c>
    </row>
    <row r="19" spans="1:6" ht="15" customHeight="1" x14ac:dyDescent="0.35">
      <c r="A19" s="1">
        <v>9859</v>
      </c>
      <c r="B19">
        <v>80</v>
      </c>
    </row>
    <row r="20" spans="1:6" ht="15" customHeight="1" x14ac:dyDescent="0.35">
      <c r="A20" s="1">
        <v>9106</v>
      </c>
      <c r="B20">
        <v>63</v>
      </c>
    </row>
    <row r="21" spans="1:6" ht="15" customHeight="1" x14ac:dyDescent="0.35">
      <c r="A21" s="1">
        <v>3535</v>
      </c>
      <c r="B21">
        <v>72</v>
      </c>
    </row>
    <row r="22" spans="1:6" ht="15" customHeight="1" x14ac:dyDescent="0.35">
      <c r="A22" s="1">
        <v>8192</v>
      </c>
      <c r="B22" t="s">
        <v>22</v>
      </c>
      <c r="E22" t="s">
        <v>23</v>
      </c>
    </row>
    <row r="23" spans="1:6" ht="15" customHeight="1" x14ac:dyDescent="0.35">
      <c r="A23" s="1">
        <v>6102</v>
      </c>
      <c r="B23">
        <v>85</v>
      </c>
      <c r="E23" s="2">
        <f>MAX(B17:B77)</f>
        <v>92</v>
      </c>
    </row>
    <row r="24" spans="1:6" ht="15" customHeight="1" x14ac:dyDescent="0.35">
      <c r="A24" s="1">
        <v>6774</v>
      </c>
      <c r="B24">
        <v>70</v>
      </c>
    </row>
    <row r="25" spans="1:6" ht="15" customHeight="1" x14ac:dyDescent="0.35">
      <c r="A25" s="1">
        <v>7558</v>
      </c>
      <c r="B25">
        <v>64</v>
      </c>
    </row>
    <row r="26" spans="1:6" ht="15" customHeight="1" x14ac:dyDescent="0.35">
      <c r="A26" s="1">
        <v>314</v>
      </c>
      <c r="B26">
        <v>72</v>
      </c>
    </row>
    <row r="27" spans="1:6" ht="15" customHeight="1" x14ac:dyDescent="0.35">
      <c r="A27" s="1">
        <v>9082</v>
      </c>
      <c r="B27">
        <v>81</v>
      </c>
      <c r="E27" t="s">
        <v>24</v>
      </c>
    </row>
    <row r="28" spans="1:6" ht="15" customHeight="1" x14ac:dyDescent="0.35">
      <c r="A28" s="1">
        <v>2397</v>
      </c>
      <c r="B28">
        <v>75</v>
      </c>
      <c r="E28" s="2">
        <f>MIN(B17:B77)</f>
        <v>2</v>
      </c>
    </row>
    <row r="29" spans="1:6" ht="15" customHeight="1" x14ac:dyDescent="0.35">
      <c r="A29" s="1">
        <v>2517</v>
      </c>
      <c r="B29">
        <v>80</v>
      </c>
    </row>
    <row r="30" spans="1:6" ht="15" customHeight="1" x14ac:dyDescent="0.35">
      <c r="A30" s="1">
        <v>2432</v>
      </c>
      <c r="B30">
        <v>73</v>
      </c>
    </row>
    <row r="31" spans="1:6" ht="15" customHeight="1" x14ac:dyDescent="0.35">
      <c r="A31" s="1">
        <v>6016</v>
      </c>
      <c r="B31">
        <v>63</v>
      </c>
    </row>
    <row r="32" spans="1:6" ht="15" customHeight="1" x14ac:dyDescent="0.35">
      <c r="A32" s="1">
        <v>5269</v>
      </c>
      <c r="B32">
        <v>80</v>
      </c>
    </row>
    <row r="33" spans="1:2" ht="15" customHeight="1" x14ac:dyDescent="0.35">
      <c r="A33" s="1">
        <v>4847</v>
      </c>
      <c r="B33">
        <v>88</v>
      </c>
    </row>
    <row r="34" spans="1:2" ht="15" customHeight="1" x14ac:dyDescent="0.35">
      <c r="A34" s="1">
        <v>6537</v>
      </c>
      <c r="B34">
        <v>71</v>
      </c>
    </row>
    <row r="35" spans="1:2" ht="15" customHeight="1" x14ac:dyDescent="0.35">
      <c r="A35" s="1">
        <v>9922</v>
      </c>
      <c r="B35">
        <v>73</v>
      </c>
    </row>
    <row r="36" spans="1:2" ht="15" customHeight="1" x14ac:dyDescent="0.35">
      <c r="A36" s="1">
        <v>4525</v>
      </c>
      <c r="B36">
        <v>71</v>
      </c>
    </row>
    <row r="37" spans="1:2" ht="15" customHeight="1" x14ac:dyDescent="0.35">
      <c r="A37" s="1">
        <v>1491</v>
      </c>
      <c r="B37">
        <v>71</v>
      </c>
    </row>
    <row r="38" spans="1:2" ht="15" customHeight="1" x14ac:dyDescent="0.35">
      <c r="A38" s="1">
        <v>7897</v>
      </c>
      <c r="B38">
        <v>68</v>
      </c>
    </row>
    <row r="39" spans="1:2" ht="15" customHeight="1" x14ac:dyDescent="0.35">
      <c r="A39" s="1">
        <v>4088</v>
      </c>
      <c r="B39">
        <v>82</v>
      </c>
    </row>
    <row r="40" spans="1:2" ht="15" customHeight="1" x14ac:dyDescent="0.35">
      <c r="A40" s="1">
        <v>166</v>
      </c>
      <c r="B40">
        <v>76</v>
      </c>
    </row>
    <row r="41" spans="1:2" ht="15" customHeight="1" x14ac:dyDescent="0.35">
      <c r="A41" s="1">
        <v>7925</v>
      </c>
      <c r="B41">
        <v>75</v>
      </c>
    </row>
    <row r="42" spans="1:2" ht="15" customHeight="1" x14ac:dyDescent="0.35">
      <c r="A42" s="1">
        <v>6405</v>
      </c>
      <c r="B42">
        <v>81</v>
      </c>
    </row>
    <row r="43" spans="1:2" ht="15" customHeight="1" x14ac:dyDescent="0.35">
      <c r="A43" s="1">
        <v>802</v>
      </c>
      <c r="B43">
        <v>76</v>
      </c>
    </row>
    <row r="44" spans="1:2" ht="15" customHeight="1" x14ac:dyDescent="0.35">
      <c r="A44" s="1">
        <v>2931</v>
      </c>
      <c r="B44">
        <v>83</v>
      </c>
    </row>
    <row r="45" spans="1:2" ht="15" customHeight="1" x14ac:dyDescent="0.35">
      <c r="A45" s="1">
        <v>7625</v>
      </c>
      <c r="B45">
        <v>67</v>
      </c>
    </row>
    <row r="46" spans="1:2" ht="15" customHeight="1" x14ac:dyDescent="0.35">
      <c r="A46" s="1">
        <v>2628</v>
      </c>
      <c r="B46">
        <v>67</v>
      </c>
    </row>
    <row r="47" spans="1:2" ht="15" customHeight="1" x14ac:dyDescent="0.35">
      <c r="A47" s="1">
        <v>5417</v>
      </c>
      <c r="B47">
        <v>92</v>
      </c>
    </row>
    <row r="48" spans="1:2" ht="15" customHeight="1" x14ac:dyDescent="0.35">
      <c r="A48" s="1">
        <v>7804</v>
      </c>
      <c r="B48">
        <v>72</v>
      </c>
    </row>
    <row r="49" spans="1:2" ht="15" customHeight="1" x14ac:dyDescent="0.35">
      <c r="A49" s="1">
        <v>3994</v>
      </c>
      <c r="B49">
        <v>69</v>
      </c>
    </row>
    <row r="50" spans="1:2" ht="15" customHeight="1" x14ac:dyDescent="0.35">
      <c r="A50" s="1">
        <v>394</v>
      </c>
      <c r="B50">
        <v>85</v>
      </c>
    </row>
    <row r="51" spans="1:2" ht="15" customHeight="1" x14ac:dyDescent="0.35">
      <c r="A51" s="1">
        <v>8847</v>
      </c>
      <c r="B51">
        <v>78</v>
      </c>
    </row>
    <row r="52" spans="1:2" ht="15" customHeight="1" x14ac:dyDescent="0.35">
      <c r="A52" s="1">
        <v>7855</v>
      </c>
      <c r="B52">
        <v>81</v>
      </c>
    </row>
    <row r="53" spans="1:2" ht="15" customHeight="1" x14ac:dyDescent="0.35">
      <c r="A53" s="1">
        <v>8668</v>
      </c>
      <c r="B53" t="s">
        <v>22</v>
      </c>
    </row>
    <row r="54" spans="1:2" ht="15" customHeight="1" x14ac:dyDescent="0.35">
      <c r="A54" s="1">
        <v>3738</v>
      </c>
      <c r="B54">
        <v>77</v>
      </c>
    </row>
    <row r="55" spans="1:2" ht="15" customHeight="1" x14ac:dyDescent="0.35">
      <c r="A55" s="1">
        <v>5534</v>
      </c>
      <c r="B55">
        <v>70</v>
      </c>
    </row>
    <row r="56" spans="1:2" ht="15" customHeight="1" x14ac:dyDescent="0.35">
      <c r="A56" s="1">
        <v>6965</v>
      </c>
      <c r="B56">
        <v>71</v>
      </c>
    </row>
    <row r="57" spans="1:2" ht="15" customHeight="1" x14ac:dyDescent="0.35">
      <c r="A57" s="1">
        <v>8863</v>
      </c>
      <c r="B57">
        <v>69</v>
      </c>
    </row>
    <row r="58" spans="1:2" ht="15" customHeight="1" x14ac:dyDescent="0.35">
      <c r="A58" s="1">
        <v>8762</v>
      </c>
      <c r="B58">
        <v>73</v>
      </c>
    </row>
    <row r="59" spans="1:2" ht="15" customHeight="1" x14ac:dyDescent="0.35">
      <c r="A59" s="1">
        <v>6466</v>
      </c>
      <c r="B59">
        <v>60</v>
      </c>
    </row>
    <row r="60" spans="1:2" ht="15" customHeight="1" x14ac:dyDescent="0.35">
      <c r="A60" s="1">
        <v>6100</v>
      </c>
      <c r="B60">
        <v>76</v>
      </c>
    </row>
    <row r="61" spans="1:2" ht="15" customHeight="1" x14ac:dyDescent="0.35">
      <c r="A61" s="1">
        <v>1878</v>
      </c>
      <c r="B61">
        <v>74</v>
      </c>
    </row>
    <row r="62" spans="1:2" ht="15" customHeight="1" x14ac:dyDescent="0.35">
      <c r="A62" s="1">
        <v>5970</v>
      </c>
      <c r="B62">
        <v>67</v>
      </c>
    </row>
    <row r="63" spans="1:2" ht="15" customHeight="1" x14ac:dyDescent="0.35">
      <c r="A63" s="1">
        <v>9691</v>
      </c>
      <c r="B63">
        <v>62</v>
      </c>
    </row>
    <row r="64" spans="1:2" ht="15" customHeight="1" x14ac:dyDescent="0.35">
      <c r="A64" s="1">
        <v>8666</v>
      </c>
      <c r="B64">
        <v>77</v>
      </c>
    </row>
    <row r="65" spans="1:2" ht="15" customHeight="1" x14ac:dyDescent="0.35">
      <c r="A65" s="1">
        <v>4865</v>
      </c>
      <c r="B65">
        <v>91</v>
      </c>
    </row>
    <row r="66" spans="1:2" ht="15" customHeight="1" x14ac:dyDescent="0.35">
      <c r="A66" s="1">
        <v>6198</v>
      </c>
      <c r="B66">
        <v>81</v>
      </c>
    </row>
    <row r="67" spans="1:2" ht="15" customHeight="1" x14ac:dyDescent="0.35">
      <c r="A67" s="1">
        <v>8554</v>
      </c>
      <c r="B67">
        <v>87</v>
      </c>
    </row>
    <row r="68" spans="1:2" ht="15" customHeight="1" x14ac:dyDescent="0.35">
      <c r="A68" s="1">
        <v>6753</v>
      </c>
      <c r="B68">
        <v>76</v>
      </c>
    </row>
    <row r="69" spans="1:2" ht="15" customHeight="1" x14ac:dyDescent="0.35">
      <c r="A69" s="1">
        <v>9574</v>
      </c>
      <c r="B69">
        <v>2</v>
      </c>
    </row>
    <row r="70" spans="1:2" ht="15" customHeight="1" x14ac:dyDescent="0.35">
      <c r="A70" s="1">
        <v>3891</v>
      </c>
      <c r="B70">
        <v>6</v>
      </c>
    </row>
    <row r="71" spans="1:2" ht="15" customHeight="1" x14ac:dyDescent="0.35">
      <c r="A71" s="1">
        <v>8186</v>
      </c>
      <c r="B71" t="s">
        <v>22</v>
      </c>
    </row>
    <row r="72" spans="1:2" ht="15" customHeight="1" x14ac:dyDescent="0.35">
      <c r="A72" s="1">
        <v>1306</v>
      </c>
      <c r="B72">
        <v>73</v>
      </c>
    </row>
    <row r="73" spans="1:2" ht="15" customHeight="1" x14ac:dyDescent="0.35">
      <c r="A73" s="1">
        <v>6835</v>
      </c>
      <c r="B73">
        <v>83</v>
      </c>
    </row>
    <row r="74" spans="1:2" ht="15" customHeight="1" x14ac:dyDescent="0.35">
      <c r="A74" s="1">
        <v>3136</v>
      </c>
      <c r="B74">
        <v>59</v>
      </c>
    </row>
    <row r="75" spans="1:2" ht="15" customHeight="1" x14ac:dyDescent="0.35">
      <c r="A75" s="1">
        <v>4938</v>
      </c>
      <c r="B75">
        <v>74</v>
      </c>
    </row>
    <row r="76" spans="1:2" ht="15" customHeight="1" x14ac:dyDescent="0.35">
      <c r="A76" s="1">
        <v>4807</v>
      </c>
      <c r="B76">
        <v>74</v>
      </c>
    </row>
    <row r="77" spans="1:2" ht="15" customHeight="1" x14ac:dyDescent="0.35">
      <c r="A77" s="1">
        <v>4421</v>
      </c>
      <c r="B77">
        <v>78</v>
      </c>
    </row>
  </sheetData>
  <mergeCells count="2">
    <mergeCell ref="A14:F14"/>
    <mergeCell ref="A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6"/>
  <sheetViews>
    <sheetView topLeftCell="A7" zoomScale="54" workbookViewId="0">
      <selection activeCell="J8" sqref="J8"/>
    </sheetView>
  </sheetViews>
  <sheetFormatPr defaultRowHeight="15" customHeight="1" x14ac:dyDescent="0.35"/>
  <cols>
    <col min="1" max="1" width="13.7265625" style="1" customWidth="1"/>
    <col min="2" max="2" width="10.81640625" customWidth="1"/>
    <col min="4" max="4" width="11.1796875" bestFit="1" customWidth="1"/>
    <col min="8" max="8" width="13" customWidth="1"/>
  </cols>
  <sheetData>
    <row r="1" spans="1:8" ht="21" x14ac:dyDescent="0.5">
      <c r="A1" s="40" t="s">
        <v>25</v>
      </c>
      <c r="B1" s="40"/>
      <c r="C1" s="40"/>
      <c r="D1" s="40"/>
      <c r="E1" s="40"/>
      <c r="F1" s="40"/>
      <c r="G1" s="40"/>
      <c r="H1" s="40"/>
    </row>
    <row r="4" spans="1:8" ht="15" customHeight="1" x14ac:dyDescent="0.35">
      <c r="A4" s="6" t="s">
        <v>18</v>
      </c>
      <c r="B4" s="7" t="s">
        <v>19</v>
      </c>
      <c r="D4" s="2" t="s">
        <v>26</v>
      </c>
      <c r="E4" s="21">
        <f>COUNT(B5:B76)</f>
        <v>64</v>
      </c>
    </row>
    <row r="5" spans="1:8" ht="15" customHeight="1" x14ac:dyDescent="0.35">
      <c r="A5" s="1">
        <v>1533</v>
      </c>
      <c r="B5">
        <v>62</v>
      </c>
      <c r="D5" s="2" t="s">
        <v>27</v>
      </c>
      <c r="E5" s="21">
        <f>COUNTA(B5:B76)</f>
        <v>68</v>
      </c>
    </row>
    <row r="6" spans="1:8" ht="15" customHeight="1" x14ac:dyDescent="0.35">
      <c r="A6" s="1">
        <v>8031</v>
      </c>
      <c r="B6">
        <v>73</v>
      </c>
      <c r="D6" s="2" t="s">
        <v>28</v>
      </c>
      <c r="E6" s="21">
        <f>COUNTBLANK(B5:B76)</f>
        <v>4</v>
      </c>
    </row>
    <row r="7" spans="1:8" ht="15" customHeight="1" x14ac:dyDescent="0.35">
      <c r="A7" s="1">
        <v>9859</v>
      </c>
    </row>
    <row r="8" spans="1:8" ht="15" customHeight="1" x14ac:dyDescent="0.35">
      <c r="A8" s="1">
        <v>9106</v>
      </c>
    </row>
    <row r="9" spans="1:8" ht="15" customHeight="1" x14ac:dyDescent="0.35">
      <c r="A9" s="1">
        <v>3535</v>
      </c>
      <c r="B9" t="s">
        <v>29</v>
      </c>
    </row>
    <row r="10" spans="1:8" ht="15" customHeight="1" x14ac:dyDescent="0.35">
      <c r="A10" s="1">
        <v>8192</v>
      </c>
      <c r="B10">
        <v>57</v>
      </c>
    </row>
    <row r="11" spans="1:8" ht="15" customHeight="1" x14ac:dyDescent="0.35">
      <c r="A11" s="1">
        <v>6102</v>
      </c>
      <c r="B11">
        <v>67</v>
      </c>
    </row>
    <row r="12" spans="1:8" ht="15" customHeight="1" x14ac:dyDescent="0.35">
      <c r="A12" s="1">
        <v>6774</v>
      </c>
      <c r="B12">
        <v>90</v>
      </c>
    </row>
    <row r="13" spans="1:8" ht="15" customHeight="1" x14ac:dyDescent="0.35">
      <c r="A13" s="1">
        <v>7558</v>
      </c>
      <c r="B13">
        <v>77</v>
      </c>
    </row>
    <row r="14" spans="1:8" ht="15" customHeight="1" x14ac:dyDescent="0.35">
      <c r="A14" s="1">
        <v>314</v>
      </c>
    </row>
    <row r="15" spans="1:8" ht="15" customHeight="1" x14ac:dyDescent="0.35">
      <c r="A15" s="1">
        <v>9082</v>
      </c>
    </row>
    <row r="16" spans="1:8" ht="15" customHeight="1" x14ac:dyDescent="0.35">
      <c r="A16" s="1">
        <v>2397</v>
      </c>
      <c r="B16">
        <v>75</v>
      </c>
    </row>
    <row r="17" spans="1:2" ht="15" customHeight="1" x14ac:dyDescent="0.35">
      <c r="A17" s="1">
        <v>2517</v>
      </c>
      <c r="B17">
        <v>72</v>
      </c>
    </row>
    <row r="18" spans="1:2" ht="15" customHeight="1" x14ac:dyDescent="0.35">
      <c r="A18" s="1">
        <v>2432</v>
      </c>
      <c r="B18">
        <v>82</v>
      </c>
    </row>
    <row r="19" spans="1:2" ht="15" customHeight="1" x14ac:dyDescent="0.35">
      <c r="A19" s="1">
        <v>6016</v>
      </c>
      <c r="B19">
        <v>68</v>
      </c>
    </row>
    <row r="20" spans="1:2" ht="15" customHeight="1" x14ac:dyDescent="0.35">
      <c r="A20" s="1">
        <v>5269</v>
      </c>
      <c r="B20">
        <v>86</v>
      </c>
    </row>
    <row r="21" spans="1:2" ht="15" customHeight="1" x14ac:dyDescent="0.35">
      <c r="A21" s="1">
        <v>4847</v>
      </c>
      <c r="B21">
        <v>77</v>
      </c>
    </row>
    <row r="22" spans="1:2" ht="15" customHeight="1" x14ac:dyDescent="0.35">
      <c r="A22" s="1">
        <v>6537</v>
      </c>
      <c r="B22">
        <v>68</v>
      </c>
    </row>
    <row r="23" spans="1:2" ht="15" customHeight="1" x14ac:dyDescent="0.35">
      <c r="A23" s="1">
        <v>9922</v>
      </c>
      <c r="B23">
        <v>86</v>
      </c>
    </row>
    <row r="24" spans="1:2" ht="15" customHeight="1" x14ac:dyDescent="0.35">
      <c r="A24" s="1">
        <v>4525</v>
      </c>
      <c r="B24">
        <v>2</v>
      </c>
    </row>
    <row r="25" spans="1:2" ht="15" customHeight="1" x14ac:dyDescent="0.35">
      <c r="A25" s="1">
        <v>1491</v>
      </c>
      <c r="B25">
        <v>80</v>
      </c>
    </row>
    <row r="26" spans="1:2" ht="15" customHeight="1" x14ac:dyDescent="0.35">
      <c r="A26" s="1">
        <v>7897</v>
      </c>
      <c r="B26">
        <v>81</v>
      </c>
    </row>
    <row r="27" spans="1:2" ht="15" customHeight="1" x14ac:dyDescent="0.35">
      <c r="A27" s="1">
        <v>4088</v>
      </c>
      <c r="B27">
        <v>84</v>
      </c>
    </row>
    <row r="28" spans="1:2" ht="15" customHeight="1" x14ac:dyDescent="0.35">
      <c r="A28" s="1">
        <v>166</v>
      </c>
      <c r="B28">
        <v>71</v>
      </c>
    </row>
    <row r="29" spans="1:2" ht="15" customHeight="1" x14ac:dyDescent="0.35">
      <c r="A29" s="1">
        <v>7925</v>
      </c>
      <c r="B29">
        <v>76</v>
      </c>
    </row>
    <row r="30" spans="1:2" ht="15" customHeight="1" x14ac:dyDescent="0.35">
      <c r="A30" s="1">
        <v>6405</v>
      </c>
      <c r="B30">
        <v>81</v>
      </c>
    </row>
    <row r="31" spans="1:2" ht="15" customHeight="1" x14ac:dyDescent="0.35">
      <c r="A31" s="1">
        <v>802</v>
      </c>
      <c r="B31">
        <v>99</v>
      </c>
    </row>
    <row r="32" spans="1:2" ht="15" customHeight="1" x14ac:dyDescent="0.35">
      <c r="A32" s="1">
        <v>2931</v>
      </c>
      <c r="B32">
        <v>72</v>
      </c>
    </row>
    <row r="33" spans="1:2" ht="15" customHeight="1" x14ac:dyDescent="0.35">
      <c r="A33" s="1">
        <v>7625</v>
      </c>
      <c r="B33">
        <v>78</v>
      </c>
    </row>
    <row r="34" spans="1:2" ht="15" customHeight="1" x14ac:dyDescent="0.35">
      <c r="A34" s="1">
        <v>2628</v>
      </c>
      <c r="B34">
        <v>67</v>
      </c>
    </row>
    <row r="35" spans="1:2" ht="15" customHeight="1" x14ac:dyDescent="0.35">
      <c r="A35" s="1">
        <v>5417</v>
      </c>
      <c r="B35" t="s">
        <v>30</v>
      </c>
    </row>
    <row r="36" spans="1:2" ht="15" customHeight="1" x14ac:dyDescent="0.35">
      <c r="A36" s="1">
        <v>7804</v>
      </c>
      <c r="B36">
        <v>70</v>
      </c>
    </row>
    <row r="37" spans="1:2" ht="15" customHeight="1" x14ac:dyDescent="0.35">
      <c r="A37" s="1">
        <v>3994</v>
      </c>
      <c r="B37">
        <v>77</v>
      </c>
    </row>
    <row r="38" spans="1:2" ht="15" customHeight="1" x14ac:dyDescent="0.35">
      <c r="A38" s="1">
        <v>394</v>
      </c>
      <c r="B38">
        <v>22</v>
      </c>
    </row>
    <row r="39" spans="1:2" ht="15" customHeight="1" x14ac:dyDescent="0.35">
      <c r="A39" s="1">
        <v>8847</v>
      </c>
      <c r="B39">
        <v>83</v>
      </c>
    </row>
    <row r="40" spans="1:2" ht="15" customHeight="1" x14ac:dyDescent="0.35">
      <c r="A40" s="1">
        <v>7855</v>
      </c>
      <c r="B40">
        <v>74</v>
      </c>
    </row>
    <row r="41" spans="1:2" ht="15" customHeight="1" x14ac:dyDescent="0.35">
      <c r="A41" s="1">
        <v>8668</v>
      </c>
      <c r="B41">
        <v>87</v>
      </c>
    </row>
    <row r="42" spans="1:2" ht="15" customHeight="1" x14ac:dyDescent="0.35">
      <c r="A42" s="1">
        <v>3738</v>
      </c>
      <c r="B42">
        <v>75</v>
      </c>
    </row>
    <row r="43" spans="1:2" ht="15" customHeight="1" x14ac:dyDescent="0.35">
      <c r="A43" s="1">
        <v>5534</v>
      </c>
      <c r="B43">
        <v>86</v>
      </c>
    </row>
    <row r="44" spans="1:2" ht="15" customHeight="1" x14ac:dyDescent="0.35">
      <c r="A44" s="1">
        <v>6965</v>
      </c>
      <c r="B44">
        <v>77</v>
      </c>
    </row>
    <row r="45" spans="1:2" ht="15" customHeight="1" x14ac:dyDescent="0.35">
      <c r="A45" s="1">
        <v>8863</v>
      </c>
      <c r="B45">
        <v>73</v>
      </c>
    </row>
    <row r="46" spans="1:2" ht="15" customHeight="1" x14ac:dyDescent="0.35">
      <c r="A46" s="1">
        <v>8762</v>
      </c>
      <c r="B46">
        <v>74</v>
      </c>
    </row>
    <row r="47" spans="1:2" ht="15" customHeight="1" x14ac:dyDescent="0.35">
      <c r="A47" s="1">
        <v>6466</v>
      </c>
      <c r="B47">
        <v>79</v>
      </c>
    </row>
    <row r="48" spans="1:2" ht="15" customHeight="1" x14ac:dyDescent="0.35">
      <c r="A48" s="1">
        <v>6100</v>
      </c>
      <c r="B48">
        <v>80</v>
      </c>
    </row>
    <row r="49" spans="1:2" ht="15" customHeight="1" x14ac:dyDescent="0.35">
      <c r="A49" s="1">
        <v>1878</v>
      </c>
      <c r="B49">
        <v>77</v>
      </c>
    </row>
    <row r="50" spans="1:2" ht="15" customHeight="1" x14ac:dyDescent="0.35">
      <c r="A50" s="1">
        <v>5970</v>
      </c>
      <c r="B50">
        <v>72</v>
      </c>
    </row>
    <row r="51" spans="1:2" ht="15" customHeight="1" x14ac:dyDescent="0.35">
      <c r="A51" s="1">
        <v>9691</v>
      </c>
      <c r="B51">
        <v>77</v>
      </c>
    </row>
    <row r="52" spans="1:2" ht="15" customHeight="1" x14ac:dyDescent="0.35">
      <c r="A52" s="1">
        <v>8666</v>
      </c>
      <c r="B52">
        <v>71</v>
      </c>
    </row>
    <row r="53" spans="1:2" ht="15" customHeight="1" x14ac:dyDescent="0.35">
      <c r="A53" s="1">
        <v>4865</v>
      </c>
      <c r="B53">
        <v>70</v>
      </c>
    </row>
    <row r="54" spans="1:2" ht="15" customHeight="1" x14ac:dyDescent="0.35">
      <c r="A54" s="1">
        <v>6198</v>
      </c>
      <c r="B54" t="s">
        <v>30</v>
      </c>
    </row>
    <row r="55" spans="1:2" ht="15" customHeight="1" x14ac:dyDescent="0.35">
      <c r="A55" s="1">
        <v>8554</v>
      </c>
      <c r="B55">
        <v>79</v>
      </c>
    </row>
    <row r="56" spans="1:2" ht="15" customHeight="1" x14ac:dyDescent="0.35">
      <c r="A56" s="1">
        <v>6753</v>
      </c>
      <c r="B56">
        <v>75</v>
      </c>
    </row>
    <row r="57" spans="1:2" ht="15" customHeight="1" x14ac:dyDescent="0.35">
      <c r="A57" s="1">
        <v>9574</v>
      </c>
      <c r="B57">
        <v>80</v>
      </c>
    </row>
    <row r="58" spans="1:2" ht="15" customHeight="1" x14ac:dyDescent="0.35">
      <c r="A58" s="1">
        <v>3891</v>
      </c>
      <c r="B58">
        <v>73</v>
      </c>
    </row>
    <row r="59" spans="1:2" ht="15" customHeight="1" x14ac:dyDescent="0.35">
      <c r="A59" s="1">
        <v>8186</v>
      </c>
      <c r="B59">
        <v>61</v>
      </c>
    </row>
    <row r="60" spans="1:2" ht="15" customHeight="1" x14ac:dyDescent="0.35">
      <c r="A60" s="1">
        <v>1306</v>
      </c>
      <c r="B60">
        <v>62</v>
      </c>
    </row>
    <row r="61" spans="1:2" ht="15" customHeight="1" x14ac:dyDescent="0.35">
      <c r="A61" s="1">
        <v>6835</v>
      </c>
      <c r="B61" t="s">
        <v>30</v>
      </c>
    </row>
    <row r="62" spans="1:2" ht="15" customHeight="1" x14ac:dyDescent="0.35">
      <c r="A62" s="1">
        <v>3136</v>
      </c>
      <c r="B62">
        <v>92</v>
      </c>
    </row>
    <row r="63" spans="1:2" ht="15" customHeight="1" x14ac:dyDescent="0.35">
      <c r="A63" s="1">
        <v>4938</v>
      </c>
      <c r="B63">
        <v>85</v>
      </c>
    </row>
    <row r="64" spans="1:2" ht="15" customHeight="1" x14ac:dyDescent="0.35">
      <c r="A64" s="1">
        <v>4807</v>
      </c>
      <c r="B64">
        <v>77</v>
      </c>
    </row>
    <row r="65" spans="1:2" ht="15" customHeight="1" x14ac:dyDescent="0.35">
      <c r="A65" s="1">
        <v>4421</v>
      </c>
      <c r="B65">
        <v>79</v>
      </c>
    </row>
    <row r="66" spans="1:2" ht="15" customHeight="1" x14ac:dyDescent="0.35">
      <c r="A66" s="1">
        <v>4422</v>
      </c>
      <c r="B66">
        <v>86</v>
      </c>
    </row>
    <row r="67" spans="1:2" ht="15" customHeight="1" x14ac:dyDescent="0.35">
      <c r="A67" s="1">
        <v>4423</v>
      </c>
      <c r="B67">
        <v>83</v>
      </c>
    </row>
    <row r="68" spans="1:2" ht="15" customHeight="1" x14ac:dyDescent="0.35">
      <c r="A68" s="1">
        <v>4424</v>
      </c>
      <c r="B68">
        <v>83</v>
      </c>
    </row>
    <row r="69" spans="1:2" ht="15" customHeight="1" x14ac:dyDescent="0.35">
      <c r="A69" s="1">
        <v>4425</v>
      </c>
      <c r="B69">
        <v>76</v>
      </c>
    </row>
    <row r="70" spans="1:2" ht="15" customHeight="1" x14ac:dyDescent="0.35">
      <c r="A70" s="1">
        <v>4426</v>
      </c>
      <c r="B70">
        <v>89</v>
      </c>
    </row>
    <row r="71" spans="1:2" ht="15" customHeight="1" x14ac:dyDescent="0.35">
      <c r="A71" s="1">
        <v>4427</v>
      </c>
      <c r="B71">
        <v>72</v>
      </c>
    </row>
    <row r="72" spans="1:2" ht="15" customHeight="1" x14ac:dyDescent="0.35">
      <c r="A72" s="1">
        <v>4428</v>
      </c>
      <c r="B72">
        <v>69</v>
      </c>
    </row>
    <row r="73" spans="1:2" ht="15" customHeight="1" x14ac:dyDescent="0.35">
      <c r="A73" s="1">
        <v>4429</v>
      </c>
      <c r="B73">
        <v>66</v>
      </c>
    </row>
    <row r="74" spans="1:2" ht="15" customHeight="1" x14ac:dyDescent="0.35">
      <c r="A74" s="1">
        <v>4430</v>
      </c>
      <c r="B74">
        <v>71</v>
      </c>
    </row>
    <row r="75" spans="1:2" ht="15" customHeight="1" x14ac:dyDescent="0.35">
      <c r="A75" s="1">
        <v>4431</v>
      </c>
      <c r="B75">
        <v>80</v>
      </c>
    </row>
    <row r="76" spans="1:2" ht="15" customHeight="1" x14ac:dyDescent="0.35">
      <c r="A76" s="1">
        <v>4432</v>
      </c>
      <c r="B76">
        <v>61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zoomScale="94" workbookViewId="0">
      <selection activeCell="B21" sqref="B21"/>
    </sheetView>
  </sheetViews>
  <sheetFormatPr defaultColWidth="9.1796875" defaultRowHeight="12.5" x14ac:dyDescent="0.25"/>
  <cols>
    <col min="1" max="1" width="15" style="8" bestFit="1" customWidth="1"/>
    <col min="2" max="2" width="13.81640625" style="8" bestFit="1" customWidth="1"/>
    <col min="3" max="3" width="14.26953125" style="8" bestFit="1" customWidth="1"/>
    <col min="4" max="4" width="13.81640625" style="8" bestFit="1" customWidth="1"/>
    <col min="5" max="5" width="14.26953125" style="8" bestFit="1" customWidth="1"/>
    <col min="6" max="16384" width="9.1796875" style="8"/>
  </cols>
  <sheetData>
    <row r="1" spans="1:5" ht="20" x14ac:dyDescent="0.4">
      <c r="A1" s="38" t="s">
        <v>31</v>
      </c>
      <c r="B1" s="38"/>
      <c r="C1" s="38"/>
      <c r="D1" s="38"/>
      <c r="E1" s="38"/>
    </row>
    <row r="2" spans="1:5" ht="15" thickBot="1" x14ac:dyDescent="0.4">
      <c r="A2" s="17"/>
      <c r="B2" s="17"/>
      <c r="C2" s="17"/>
      <c r="D2" s="17"/>
      <c r="E2" s="17"/>
    </row>
    <row r="3" spans="1:5" ht="15" thickBot="1" x14ac:dyDescent="0.3">
      <c r="A3" s="22" t="s">
        <v>32</v>
      </c>
      <c r="B3" s="22" t="s">
        <v>33</v>
      </c>
      <c r="C3" s="22" t="s">
        <v>34</v>
      </c>
      <c r="D3" s="22" t="s">
        <v>35</v>
      </c>
      <c r="E3" s="22" t="s">
        <v>36</v>
      </c>
    </row>
    <row r="4" spans="1:5" ht="14.5" x14ac:dyDescent="0.25">
      <c r="A4" s="16" t="s">
        <v>37</v>
      </c>
      <c r="B4" s="15">
        <v>919990.99</v>
      </c>
      <c r="C4" s="15">
        <v>1103988.7</v>
      </c>
      <c r="D4" s="15">
        <v>459995.25</v>
      </c>
      <c r="E4" s="15">
        <v>1011989.78</v>
      </c>
    </row>
    <row r="5" spans="1:5" ht="14.5" x14ac:dyDescent="0.25">
      <c r="A5" s="13" t="s">
        <v>38</v>
      </c>
      <c r="B5" s="14">
        <v>250850.25</v>
      </c>
      <c r="C5" s="14">
        <v>301020.15000000002</v>
      </c>
      <c r="D5" s="14">
        <v>125425.28</v>
      </c>
      <c r="E5" s="14">
        <v>275935.95</v>
      </c>
    </row>
    <row r="6" spans="1:5" ht="14.5" x14ac:dyDescent="0.25">
      <c r="A6" s="13" t="s">
        <v>39</v>
      </c>
      <c r="B6" s="14">
        <v>124250.35</v>
      </c>
      <c r="C6" s="14">
        <v>149100.32999999999</v>
      </c>
      <c r="D6" s="14">
        <v>62125.22</v>
      </c>
      <c r="E6" s="14">
        <v>136675.75</v>
      </c>
    </row>
    <row r="7" spans="1:5" ht="14.5" x14ac:dyDescent="0.25">
      <c r="A7" s="13" t="s">
        <v>40</v>
      </c>
      <c r="B7" s="14">
        <v>42250.28</v>
      </c>
      <c r="C7" s="14">
        <v>50700.78</v>
      </c>
      <c r="D7" s="14">
        <v>21125.25</v>
      </c>
      <c r="E7" s="14">
        <v>46475.199999999997</v>
      </c>
    </row>
    <row r="8" spans="1:5" ht="14.5" x14ac:dyDescent="0.25">
      <c r="A8" s="13" t="s">
        <v>41</v>
      </c>
      <c r="B8" s="14">
        <v>99990.99</v>
      </c>
      <c r="C8" s="14">
        <v>100253.5</v>
      </c>
      <c r="D8" s="14">
        <v>49995.98</v>
      </c>
      <c r="E8" s="14">
        <v>109989.1</v>
      </c>
    </row>
    <row r="9" spans="1:5" ht="14.5" x14ac:dyDescent="0.25">
      <c r="A9" s="13" t="s">
        <v>42</v>
      </c>
      <c r="B9" s="14">
        <v>52220.85</v>
      </c>
      <c r="C9" s="14">
        <v>62664.25</v>
      </c>
      <c r="D9" s="14">
        <v>26110.95</v>
      </c>
      <c r="E9" s="14">
        <v>57442</v>
      </c>
    </row>
    <row r="10" spans="1:5" ht="14.5" x14ac:dyDescent="0.25">
      <c r="A10" s="13" t="s">
        <v>43</v>
      </c>
      <c r="B10" s="14">
        <v>129290.36</v>
      </c>
      <c r="C10" s="14">
        <v>155148.35999999999</v>
      </c>
      <c r="D10" s="14">
        <v>64645.55</v>
      </c>
      <c r="E10" s="14">
        <v>142219</v>
      </c>
    </row>
    <row r="11" spans="1:5" ht="14.5" x14ac:dyDescent="0.25">
      <c r="A11" s="13" t="s">
        <v>44</v>
      </c>
      <c r="B11" s="14">
        <v>100220.22</v>
      </c>
      <c r="C11" s="14">
        <v>120264.24</v>
      </c>
      <c r="D11" s="14">
        <v>50110.5</v>
      </c>
      <c r="E11" s="14">
        <v>110242.4</v>
      </c>
    </row>
    <row r="12" spans="1:5" ht="14.5" x14ac:dyDescent="0.25">
      <c r="A12" s="13" t="s">
        <v>45</v>
      </c>
      <c r="B12" s="14">
        <v>53500.75</v>
      </c>
      <c r="C12" s="14">
        <v>64200.23</v>
      </c>
      <c r="D12" s="14">
        <v>26750.400000000001</v>
      </c>
      <c r="E12" s="14">
        <v>58850.62</v>
      </c>
    </row>
    <row r="13" spans="1:5" ht="14.5" x14ac:dyDescent="0.25">
      <c r="A13" s="13" t="s">
        <v>46</v>
      </c>
      <c r="B13" s="14">
        <v>154320.89000000001</v>
      </c>
      <c r="C13" s="14">
        <v>185184.18</v>
      </c>
      <c r="D13" s="14">
        <v>77160.3</v>
      </c>
      <c r="E13" s="14">
        <v>169752</v>
      </c>
    </row>
    <row r="14" spans="1:5" ht="14.5" x14ac:dyDescent="0.25">
      <c r="A14" s="13" t="s">
        <v>47</v>
      </c>
      <c r="B14" s="14">
        <v>247880.27</v>
      </c>
      <c r="C14" s="14">
        <v>297456.2</v>
      </c>
      <c r="D14" s="14">
        <v>123940.8</v>
      </c>
      <c r="E14" s="14">
        <v>272668.40000000002</v>
      </c>
    </row>
    <row r="15" spans="1:5" ht="14.5" x14ac:dyDescent="0.25">
      <c r="A15" s="13" t="s">
        <v>48</v>
      </c>
      <c r="B15" s="14">
        <v>87270.5</v>
      </c>
      <c r="C15" s="14">
        <v>104724.6</v>
      </c>
      <c r="D15" s="14">
        <v>43635.75</v>
      </c>
      <c r="E15" s="14">
        <v>95997.75</v>
      </c>
    </row>
    <row r="16" spans="1:5" ht="15" thickBot="1" x14ac:dyDescent="0.3">
      <c r="A16" s="13" t="s">
        <v>49</v>
      </c>
      <c r="B16" s="12">
        <v>76980.600000000006</v>
      </c>
      <c r="C16" s="12">
        <v>92376.88</v>
      </c>
      <c r="D16" s="12">
        <v>38490.949999999997</v>
      </c>
      <c r="E16" s="12">
        <v>84678</v>
      </c>
    </row>
    <row r="17" spans="1:5" ht="14.5" x14ac:dyDescent="0.35">
      <c r="A17" s="23" t="s">
        <v>16</v>
      </c>
      <c r="B17" s="11">
        <f>SUM(B4:B16)</f>
        <v>2339017.3000000003</v>
      </c>
      <c r="C17" s="11">
        <f t="shared" ref="C17:E17" si="0">SUM(C4:C16)</f>
        <v>2787082.4000000008</v>
      </c>
      <c r="D17" s="11">
        <f t="shared" si="0"/>
        <v>1169512.18</v>
      </c>
      <c r="E17" s="11">
        <f t="shared" si="0"/>
        <v>2572915.9499999997</v>
      </c>
    </row>
    <row r="18" spans="1:5" ht="14.5" x14ac:dyDescent="0.35">
      <c r="A18" s="23" t="s">
        <v>50</v>
      </c>
      <c r="B18" s="10">
        <f>COUNT(B4:B16)</f>
        <v>13</v>
      </c>
      <c r="C18" s="10">
        <f t="shared" ref="C18:E18" si="1">COUNT(C4:C16)</f>
        <v>13</v>
      </c>
      <c r="D18" s="10">
        <f t="shared" si="1"/>
        <v>13</v>
      </c>
      <c r="E18" s="10">
        <f t="shared" si="1"/>
        <v>13</v>
      </c>
    </row>
    <row r="19" spans="1:5" ht="14.5" x14ac:dyDescent="0.35">
      <c r="A19" s="23" t="s">
        <v>51</v>
      </c>
      <c r="B19" s="10">
        <f>AVERAGE(B4:B16)</f>
        <v>179924.40769230772</v>
      </c>
      <c r="C19" s="10">
        <f t="shared" ref="C19:E19" si="2">AVERAGE(C4:C16)</f>
        <v>214390.95384615392</v>
      </c>
      <c r="D19" s="10">
        <f t="shared" si="2"/>
        <v>89962.475384615376</v>
      </c>
      <c r="E19" s="10">
        <f t="shared" si="2"/>
        <v>197916.61153846153</v>
      </c>
    </row>
    <row r="20" spans="1:5" ht="14.5" x14ac:dyDescent="0.35">
      <c r="A20" s="23" t="s">
        <v>52</v>
      </c>
      <c r="B20" s="10">
        <f>MAX(B4:B16)</f>
        <v>919990.99</v>
      </c>
      <c r="C20" s="10">
        <f t="shared" ref="C20:E20" si="3">MAX(C4:C16)</f>
        <v>1103988.7</v>
      </c>
      <c r="D20" s="10">
        <f t="shared" si="3"/>
        <v>459995.25</v>
      </c>
      <c r="E20" s="10">
        <f t="shared" si="3"/>
        <v>1011989.78</v>
      </c>
    </row>
    <row r="21" spans="1:5" ht="15" thickBot="1" x14ac:dyDescent="0.3">
      <c r="A21" s="23" t="s">
        <v>53</v>
      </c>
      <c r="B21" s="9">
        <f>MIN(B4:B16)</f>
        <v>42250.28</v>
      </c>
      <c r="C21" s="9">
        <f t="shared" ref="C21:E21" si="4">MIN(C4:C16)</f>
        <v>50700.78</v>
      </c>
      <c r="D21" s="9">
        <f t="shared" si="4"/>
        <v>21125.25</v>
      </c>
      <c r="E21" s="9">
        <f t="shared" si="4"/>
        <v>46475.199999999997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0"/>
  <sheetViews>
    <sheetView tabSelected="1" topLeftCell="A7" zoomScale="72" zoomScaleNormal="100" workbookViewId="0">
      <selection activeCell="B20" sqref="B20"/>
    </sheetView>
  </sheetViews>
  <sheetFormatPr defaultColWidth="9.1796875" defaultRowHeight="12.5" x14ac:dyDescent="0.25"/>
  <cols>
    <col min="1" max="1" width="34.26953125" style="18" bestFit="1" customWidth="1"/>
    <col min="2" max="11" width="11.54296875" style="18" customWidth="1"/>
    <col min="12" max="12" width="11.453125" style="18" customWidth="1"/>
    <col min="13" max="13" width="8.7265625" style="18" customWidth="1"/>
    <col min="14" max="14" width="9.1796875" style="18"/>
    <col min="15" max="17" width="53.1796875" style="18" customWidth="1"/>
    <col min="18" max="18" width="12.453125" style="18" customWidth="1"/>
    <col min="19" max="16384" width="9.1796875" style="18"/>
  </cols>
  <sheetData>
    <row r="1" spans="1:13" ht="24" customHeight="1" x14ac:dyDescent="0.25">
      <c r="B1" s="41" t="s">
        <v>54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24" customHeight="1" x14ac:dyDescent="0.25">
      <c r="B2" s="24" t="s">
        <v>11</v>
      </c>
      <c r="C2" s="24" t="s">
        <v>13</v>
      </c>
      <c r="D2" s="24" t="s">
        <v>14</v>
      </c>
      <c r="E2" s="24" t="s">
        <v>15</v>
      </c>
      <c r="F2" s="24" t="s">
        <v>55</v>
      </c>
      <c r="G2" s="24" t="s">
        <v>56</v>
      </c>
      <c r="H2" s="24" t="s">
        <v>57</v>
      </c>
      <c r="I2" s="24" t="s">
        <v>58</v>
      </c>
      <c r="J2" s="24" t="s">
        <v>59</v>
      </c>
      <c r="K2" s="24" t="s">
        <v>60</v>
      </c>
      <c r="L2" s="24" t="s">
        <v>61</v>
      </c>
      <c r="M2" s="24" t="s">
        <v>62</v>
      </c>
    </row>
    <row r="3" spans="1:13" ht="14" x14ac:dyDescent="0.3">
      <c r="A3" s="24" t="s">
        <v>63</v>
      </c>
      <c r="B3" s="20">
        <v>37827</v>
      </c>
      <c r="C3" s="20">
        <v>26722</v>
      </c>
      <c r="D3" s="20">
        <v>52269</v>
      </c>
      <c r="E3" s="20">
        <v>41140</v>
      </c>
      <c r="F3" s="20">
        <v>47195</v>
      </c>
      <c r="G3" s="20">
        <v>47609</v>
      </c>
      <c r="H3" s="20">
        <v>45963</v>
      </c>
      <c r="I3" s="20">
        <v>16527</v>
      </c>
      <c r="J3" s="20">
        <v>18848</v>
      </c>
      <c r="K3" s="20">
        <v>42737</v>
      </c>
      <c r="L3" s="20">
        <v>25887</v>
      </c>
      <c r="M3" s="20">
        <v>13063</v>
      </c>
    </row>
    <row r="4" spans="1:13" ht="14" x14ac:dyDescent="0.3">
      <c r="A4" s="24" t="s">
        <v>64</v>
      </c>
      <c r="B4" s="20">
        <v>44040</v>
      </c>
      <c r="C4" s="20">
        <v>13980</v>
      </c>
      <c r="D4" s="20">
        <v>40909</v>
      </c>
      <c r="E4" s="20">
        <v>54632</v>
      </c>
      <c r="F4" s="20">
        <v>48236</v>
      </c>
      <c r="G4" s="20">
        <v>43511</v>
      </c>
      <c r="H4" s="20">
        <v>13981</v>
      </c>
      <c r="I4" s="20">
        <v>25887</v>
      </c>
      <c r="J4" s="20">
        <v>45310</v>
      </c>
      <c r="K4" s="20">
        <v>24211</v>
      </c>
      <c r="L4" s="20">
        <v>19412</v>
      </c>
      <c r="M4" s="20">
        <v>37964</v>
      </c>
    </row>
    <row r="5" spans="1:13" ht="14" x14ac:dyDescent="0.3">
      <c r="A5" s="24" t="s">
        <v>65</v>
      </c>
      <c r="B5" s="20">
        <v>20527</v>
      </c>
      <c r="C5" s="20">
        <v>40663</v>
      </c>
      <c r="D5" s="20">
        <v>46398</v>
      </c>
      <c r="E5" s="20">
        <v>31802</v>
      </c>
      <c r="F5" s="20">
        <v>41115</v>
      </c>
      <c r="G5" s="20">
        <v>42221</v>
      </c>
      <c r="H5" s="20">
        <v>52936</v>
      </c>
      <c r="I5" s="20">
        <v>19412</v>
      </c>
      <c r="J5" s="20">
        <v>52833</v>
      </c>
      <c r="K5" s="20">
        <v>53879</v>
      </c>
      <c r="L5" s="20">
        <v>51034</v>
      </c>
      <c r="M5" s="20">
        <v>46349</v>
      </c>
    </row>
    <row r="6" spans="1:13" ht="14" x14ac:dyDescent="0.3">
      <c r="A6" s="24" t="s">
        <v>66</v>
      </c>
      <c r="B6" s="20">
        <v>33099</v>
      </c>
      <c r="C6" s="20">
        <v>53360</v>
      </c>
      <c r="D6" s="20">
        <v>18407</v>
      </c>
      <c r="E6" s="20">
        <v>33099</v>
      </c>
      <c r="F6" s="20">
        <v>13063</v>
      </c>
      <c r="G6" s="20">
        <v>34761</v>
      </c>
      <c r="H6" s="20">
        <v>41983</v>
      </c>
      <c r="I6" s="20">
        <v>51034</v>
      </c>
      <c r="J6" s="20">
        <v>24456</v>
      </c>
      <c r="K6" s="20">
        <v>26970</v>
      </c>
      <c r="L6" s="20">
        <v>38939</v>
      </c>
      <c r="M6" s="20">
        <v>22175</v>
      </c>
    </row>
    <row r="7" spans="1:13" ht="14" x14ac:dyDescent="0.3">
      <c r="A7" s="24" t="s">
        <v>67</v>
      </c>
      <c r="B7" s="20">
        <v>13330</v>
      </c>
      <c r="C7" s="20">
        <v>21315</v>
      </c>
      <c r="D7" s="20">
        <v>15103</v>
      </c>
      <c r="E7" s="20">
        <v>13330</v>
      </c>
      <c r="F7" s="20">
        <v>37964</v>
      </c>
      <c r="G7" s="20">
        <v>54849</v>
      </c>
      <c r="H7" s="20">
        <v>38530</v>
      </c>
      <c r="I7" s="20">
        <v>38939</v>
      </c>
      <c r="J7" s="20">
        <v>16250</v>
      </c>
      <c r="K7" s="20">
        <v>44911</v>
      </c>
      <c r="L7" s="20">
        <v>51512.5</v>
      </c>
      <c r="M7" s="20">
        <v>25103</v>
      </c>
    </row>
    <row r="8" spans="1:13" ht="14" x14ac:dyDescent="0.3">
      <c r="A8" s="24" t="s">
        <v>68</v>
      </c>
      <c r="B8" s="20">
        <v>33587</v>
      </c>
      <c r="C8" s="20">
        <v>20666</v>
      </c>
      <c r="D8" s="20">
        <v>36019</v>
      </c>
      <c r="E8" s="20">
        <v>33587</v>
      </c>
      <c r="F8" s="20">
        <v>46349</v>
      </c>
      <c r="G8" s="20">
        <v>24604</v>
      </c>
      <c r="H8" s="20">
        <v>36651</v>
      </c>
      <c r="I8" s="20">
        <v>24834</v>
      </c>
      <c r="J8" s="20">
        <v>30191</v>
      </c>
      <c r="K8" s="20">
        <v>35117</v>
      </c>
      <c r="L8" s="20">
        <v>58590.3</v>
      </c>
      <c r="M8" s="20">
        <v>58590.3</v>
      </c>
    </row>
    <row r="9" spans="1:13" ht="14" x14ac:dyDescent="0.3">
      <c r="A9" s="24" t="s">
        <v>69</v>
      </c>
      <c r="B9" s="20">
        <v>31795</v>
      </c>
      <c r="C9" s="20">
        <v>17822</v>
      </c>
      <c r="D9" s="20">
        <v>40273</v>
      </c>
      <c r="E9" s="20">
        <v>31795</v>
      </c>
      <c r="F9" s="20">
        <v>22175</v>
      </c>
      <c r="G9" s="20">
        <v>28698</v>
      </c>
      <c r="H9" s="20">
        <v>51116</v>
      </c>
      <c r="I9" s="20">
        <v>49923</v>
      </c>
      <c r="J9" s="20">
        <v>47916</v>
      </c>
      <c r="K9" s="20">
        <v>18273</v>
      </c>
      <c r="L9" s="20">
        <v>65668.100000000006</v>
      </c>
      <c r="M9" s="20">
        <v>65668.100000000006</v>
      </c>
    </row>
    <row r="10" spans="1:13" ht="14" x14ac:dyDescent="0.3">
      <c r="A10" s="24" t="s">
        <v>70</v>
      </c>
      <c r="B10" s="20">
        <v>28515</v>
      </c>
      <c r="C10" s="20">
        <v>21700</v>
      </c>
      <c r="D10" s="20">
        <v>28515</v>
      </c>
      <c r="E10" s="20">
        <v>22040</v>
      </c>
      <c r="F10" s="20">
        <v>25103</v>
      </c>
      <c r="G10" s="20">
        <v>42833</v>
      </c>
      <c r="H10" s="20">
        <v>40231</v>
      </c>
      <c r="I10" s="20">
        <v>37742</v>
      </c>
      <c r="J10" s="20">
        <v>44545</v>
      </c>
      <c r="K10" s="20">
        <v>27536</v>
      </c>
      <c r="L10" s="20">
        <v>72745.899999999994</v>
      </c>
      <c r="M10" s="20">
        <v>72745.899999999994</v>
      </c>
    </row>
    <row r="14" spans="1:13" x14ac:dyDescent="0.25">
      <c r="A14" s="19" t="s">
        <v>71</v>
      </c>
      <c r="B14" s="31">
        <f>SUM(B3:M10)</f>
        <v>3463671.0999999996</v>
      </c>
    </row>
    <row r="15" spans="1:13" x14ac:dyDescent="0.25">
      <c r="A15" s="19" t="s">
        <v>72</v>
      </c>
      <c r="B15" s="31">
        <f>SUM(B5:M5)</f>
        <v>499169</v>
      </c>
    </row>
    <row r="16" spans="1:13" x14ac:dyDescent="0.25">
      <c r="A16" s="19" t="s">
        <v>73</v>
      </c>
      <c r="B16" s="31">
        <f>AVERAGE(B3:M10)</f>
        <v>36079.907291666663</v>
      </c>
    </row>
    <row r="17" spans="1:2" x14ac:dyDescent="0.25">
      <c r="A17" s="19" t="s">
        <v>74</v>
      </c>
      <c r="B17" s="31">
        <f>AVERAGE(B6:M6)</f>
        <v>32612.166666666668</v>
      </c>
    </row>
    <row r="18" spans="1:2" x14ac:dyDescent="0.25">
      <c r="A18" s="19" t="s">
        <v>75</v>
      </c>
      <c r="B18" s="31">
        <f>MAX(B3:D10)</f>
        <v>53360</v>
      </c>
    </row>
    <row r="19" spans="1:2" x14ac:dyDescent="0.25">
      <c r="A19" s="19" t="s">
        <v>76</v>
      </c>
      <c r="B19" s="31">
        <f>MIN(B3:D10)</f>
        <v>13330</v>
      </c>
    </row>
    <row r="20" spans="1:2" x14ac:dyDescent="0.25">
      <c r="A20" s="19" t="s">
        <v>77</v>
      </c>
      <c r="B20" s="19">
        <f>COUNTA(A3:A10)</f>
        <v>8</v>
      </c>
    </row>
  </sheetData>
  <mergeCells count="1">
    <mergeCell ref="B1:M1"/>
  </mergeCells>
  <printOptions horizontalCentered="1"/>
  <pageMargins left="0.75" right="0.75" top="1" bottom="1" header="0.5" footer="0.5"/>
  <pageSetup orientation="landscape" r:id="rId1"/>
  <headerFooter alignWithMargins="0">
    <oddHeader>&amp;C&amp;F - &amp;A</oddHead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17be1f-df24-4ed7-b2fe-cb2789e1ed5f" xsi:nil="true"/>
    <lcf76f155ced4ddcb4097134ff3c332f xmlns="773ae310-5f92-4ed5-9a69-95b833cc21b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3A2B211AB2CA47B1BC903360B652AD" ma:contentTypeVersion="11" ma:contentTypeDescription="Create a new document." ma:contentTypeScope="" ma:versionID="1115a3a5780b04eb9e19fe48d67769d6">
  <xsd:schema xmlns:xsd="http://www.w3.org/2001/XMLSchema" xmlns:xs="http://www.w3.org/2001/XMLSchema" xmlns:p="http://schemas.microsoft.com/office/2006/metadata/properties" xmlns:ns2="773ae310-5f92-4ed5-9a69-95b833cc21b2" xmlns:ns3="7217be1f-df24-4ed7-b2fe-cb2789e1ed5f" targetNamespace="http://schemas.microsoft.com/office/2006/metadata/properties" ma:root="true" ma:fieldsID="f93bc77c4f249538b0f8abd326b665e5" ns2:_="" ns3:_="">
    <xsd:import namespace="773ae310-5f92-4ed5-9a69-95b833cc21b2"/>
    <xsd:import namespace="7217be1f-df24-4ed7-b2fe-cb2789e1ed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ae310-5f92-4ed5-9a69-95b833cc2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3e194f-0e8c-4526-a92f-53e42d4129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7be1f-df24-4ed7-b2fe-cb2789e1ed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321f21c-461b-4774-b1d3-d56dfe058ef7}" ma:internalName="TaxCatchAll" ma:showField="CatchAllData" ma:web="7217be1f-df24-4ed7-b2fe-cb2789e1ed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1ADE62-853C-4660-A28C-FD3702DEB5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E6B8B6-CA4F-4ABB-B1E0-512C8BCA37A2}">
  <ds:schemaRefs>
    <ds:schemaRef ds:uri="http://schemas.microsoft.com/office/2006/metadata/properties"/>
    <ds:schemaRef ds:uri="http://schemas.microsoft.com/office/infopath/2007/PartnerControls"/>
    <ds:schemaRef ds:uri="7217be1f-df24-4ed7-b2fe-cb2789e1ed5f"/>
    <ds:schemaRef ds:uri="773ae310-5f92-4ed5-9a69-95b833cc21b2"/>
  </ds:schemaRefs>
</ds:datastoreItem>
</file>

<file path=customXml/itemProps3.xml><?xml version="1.0" encoding="utf-8"?>
<ds:datastoreItem xmlns:ds="http://schemas.openxmlformats.org/officeDocument/2006/customXml" ds:itemID="{BCF02437-5495-4A18-8FD6-2B235F070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3ae310-5f92-4ed5-9a69-95b833cc21b2"/>
    <ds:schemaRef ds:uri="7217be1f-df24-4ed7-b2fe-cb2789e1ed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AutoSum </vt:lpstr>
      <vt:lpstr>SUM, AVERAGE</vt:lpstr>
      <vt:lpstr>COUNT, COUNTA, COUNTBLANK</vt:lpstr>
      <vt:lpstr>Ex1 </vt:lpstr>
      <vt:lpstr>Ex2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Eng.Nouran ElZeky</dc:creator>
  <cp:keywords/>
  <dc:description/>
  <cp:lastModifiedBy>Menna AbdelNasser Ramadan Elnagar</cp:lastModifiedBy>
  <cp:revision/>
  <dcterms:created xsi:type="dcterms:W3CDTF">2017-05-29T09:23:25Z</dcterms:created>
  <dcterms:modified xsi:type="dcterms:W3CDTF">2026-08-21T21:11:47Z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0x010100F53A2B211AB2CA47B1BC903360B652AD</vt:lpwstr>
  </property>
  <property fmtid="{D5CDD505-2E9C-101B-9397-08002B2CF9AE}" pid="3" name="MediaServiceImageTags">
    <vt:lpwstr/>
  </property>
</Properties>
</file>