
<file path=[Content_Types].xml><?xml version="1.0" encoding="utf-8"?>
<Types xmlns="http://schemas.openxmlformats.org/package/2006/content-types">
  <Default Extension="bin" ContentType="application/vnd.openxmlformats-officedocument.spreadsheetml.printerSettings"/>
  <Default Extension="gif" ContentType="image/gi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416"/>
  <workbookPr codeName="ThisWorkbook" defaultThemeVersion="124226"/>
  <mc:AlternateContent xmlns:mc="http://schemas.openxmlformats.org/markup-compatibility/2006">
    <mc:Choice Requires="x15">
      <x15ac:absPath xmlns:x15ac="http://schemas.microsoft.com/office/spreadsheetml/2010/11/ac" url="C:\Users\Pc\Downloads\depi\data\"/>
    </mc:Choice>
  </mc:AlternateContent>
  <xr:revisionPtr revIDLastSave="0" documentId="13_ncr:1_{AE16D77D-45B1-4C9D-A2F2-2978C26A59C0}" xr6:coauthVersionLast="47" xr6:coauthVersionMax="47" xr10:uidLastSave="{00000000-0000-0000-0000-000000000000}"/>
  <bookViews>
    <workbookView xWindow="-110" yWindow="-110" windowWidth="19420" windowHeight="11020" tabRatio="660" firstSheet="2" activeTab="9" xr2:uid="{00000000-000D-0000-FFFF-FFFF00000000}"/>
  </bookViews>
  <sheets>
    <sheet name="Text Functions all" sheetId="1" state="hidden" r:id="rId1"/>
    <sheet name="Concatenate" sheetId="3" r:id="rId2"/>
    <sheet name="LEN" sheetId="4" r:id="rId3"/>
    <sheet name="Left,Right,Mid" sheetId="5" r:id="rId4"/>
    <sheet name="Replace" sheetId="6" r:id="rId5"/>
    <sheet name="Substitute" sheetId="7" r:id="rId6"/>
    <sheet name="Lower Upper Proper" sheetId="8" r:id="rId7"/>
    <sheet name="Exact" sheetId="11" r:id="rId8"/>
    <sheet name="Trim" sheetId="16" r:id="rId9"/>
    <sheet name="Ex" sheetId="10" r:id="rId10"/>
    <sheet name="Text to Coulmns" sheetId="18" state="hidden" r:id="rId11"/>
    <sheet name="Flash Fill" sheetId="20" state="hidden" r:id="rId12"/>
  </sheets>
  <externalReferences>
    <externalReference r:id="rId13"/>
    <externalReference r:id="rId14"/>
    <externalReference r:id="rId15"/>
  </externalReferences>
  <definedNames>
    <definedName name="_AtRisk_SimSetting_AutomaticallyGenerateReports" hidden="1">FALSE</definedName>
    <definedName name="_AtRisk_SimSetting_AutomaticResultsDisplayMode" hidden="1">0</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RandomNumberGenerator" hidden="1">0</definedName>
    <definedName name="_AtRisk_SimSetting_ReportsList" hidden="1">0</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Behavior" hidden="1">1</definedName>
    <definedName name="_AtRisk_SimSetting_StdRecalcWithoutRiskStatic" hidden="1">0</definedName>
    <definedName name="_AtRisk_SimSetting_StdRecalcWithoutRiskStaticPercentile" hidden="1">0.5</definedName>
    <definedName name="_xlnm._FilterDatabase" localSheetId="4" hidden="1">Replace!$A$3:$C$3</definedName>
    <definedName name="dyn_budget">OFFSET(#REF!,1,2,COUNTA(#REF!),1)</definedName>
    <definedName name="dyn_lastn_dates">OFFSET(#REF!,COUNTA(#REF!)-n,0,n,1)</definedName>
    <definedName name="dyn_lastn_values">OFFSET(#REF!,COUNTA(#REF!)-n,1,n,1)</definedName>
    <definedName name="dyn_range">OFFSET(#REF!,0,0,COUNTA(!$B$5:$B$100),3)</definedName>
    <definedName name="dyn_salary">OFFSET(#REF!,1,1,COUNTA(#REF!),1)</definedName>
    <definedName name="Fee_Table">'[1]Fee Lookup'!$A$2:$B$28</definedName>
    <definedName name="HelpURLTemplate">"http://office.microsoft.com/client/helppreview.aspx?AssetID=xxxxxxxxxx1033&amp;QueryID=03RAPgEGJ&amp;respos=1&amp;rt=2&amp;ns=EXCEL&amp;lcid=1033&amp;pid=CH100645391033"</definedName>
    <definedName name="integer">0</definedName>
    <definedName name="n">#REF!</definedName>
    <definedName name="name">#REF!</definedName>
    <definedName name="_xlnm.Print_Area" localSheetId="0">'Text Functions all'!$A$36:$D$71</definedName>
    <definedName name="rep">'[2]Functions Ex 2'!$A$20:$B$28</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123</definedName>
    <definedName name="RiskHasSettings" hidden="1">5</definedName>
    <definedName name="RiskMinimizeOnStart" hidden="1">FALSE</definedName>
    <definedName name="RiskMonitorConvergence" hidden="1">FALSE</definedName>
    <definedName name="RiskMultipleCPUSupportEnabled" hidden="1">TRUE</definedName>
    <definedName name="RiskNumIterations" hidden="1">5000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tandardRecalc" hidden="1">2</definedName>
    <definedName name="RiskUpdateDisplay" hidden="1">FALSE</definedName>
    <definedName name="RiskUseDifferentSeedForEachSim" hidden="1">FALSE</definedName>
    <definedName name="RiskUseFixedSeed" hidden="1">TRUE</definedName>
    <definedName name="RiskUseMultipleCPUs" hidden="1">TRUE</definedName>
    <definedName name="Sales">'[3]Functions (2)'!$B$20:$B$28</definedName>
    <definedName name="SalesDataAN">'[3]HW(3an)'!$B$2:$B$10</definedName>
    <definedName name="SalesRep">'[3]Functions (2)'!$A$20:$A$28</definedName>
    <definedName name="sd">'[3]Functions (2)'!$A$2:$J$9</definedName>
    <definedName name="SRAN">'[3]HW(3an)'!$A$2:$A$10</definedName>
    <definedName name="Toyota">'[2]Functions Ex'!$A$2:$J$9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0" i="10" l="1"/>
  <c r="G11" i="10"/>
  <c r="G12" i="10"/>
  <c r="G13" i="10"/>
  <c r="G14" i="10"/>
  <c r="G15" i="10"/>
  <c r="G16" i="10"/>
  <c r="G17" i="10"/>
  <c r="G18" i="10"/>
  <c r="G19" i="10"/>
  <c r="G20" i="10"/>
  <c r="G21" i="10"/>
  <c r="G22" i="10"/>
  <c r="G9" i="10"/>
  <c r="F10" i="10"/>
  <c r="F11" i="10"/>
  <c r="F12" i="10"/>
  <c r="F13" i="10"/>
  <c r="F14" i="10"/>
  <c r="F15" i="10"/>
  <c r="F16" i="10"/>
  <c r="F17" i="10"/>
  <c r="F18" i="10"/>
  <c r="F19" i="10"/>
  <c r="F20" i="10"/>
  <c r="F21" i="10"/>
  <c r="F22" i="10"/>
  <c r="F9" i="10"/>
  <c r="E10" i="10"/>
  <c r="E11" i="10"/>
  <c r="E12" i="10"/>
  <c r="E13" i="10"/>
  <c r="E14" i="10"/>
  <c r="E15" i="10"/>
  <c r="E16" i="10"/>
  <c r="E17" i="10"/>
  <c r="E18" i="10"/>
  <c r="E19" i="10"/>
  <c r="E20" i="10"/>
  <c r="E21" i="10"/>
  <c r="E22" i="10"/>
  <c r="E9" i="10"/>
  <c r="C3" i="11"/>
  <c r="C2" i="11"/>
  <c r="D7" i="8"/>
  <c r="D5" i="8"/>
  <c r="D3" i="8"/>
  <c r="B12" i="7"/>
  <c r="B13" i="7"/>
  <c r="B14" i="7"/>
  <c r="B15" i="7"/>
  <c r="B11" i="7"/>
  <c r="B6" i="7"/>
  <c r="B7" i="7"/>
  <c r="B5" i="7"/>
  <c r="C6" i="4"/>
  <c r="C7" i="4"/>
  <c r="C8" i="4"/>
  <c r="C9" i="4"/>
  <c r="C5" i="4"/>
  <c r="D5" i="16"/>
  <c r="D6" i="16"/>
  <c r="D7" i="16"/>
  <c r="D8" i="16"/>
  <c r="D4" i="16"/>
  <c r="C5" i="16"/>
  <c r="C6" i="16"/>
  <c r="C7" i="16"/>
  <c r="C8" i="16"/>
  <c r="C4" i="16"/>
  <c r="B5" i="16"/>
  <c r="B6" i="16"/>
  <c r="B7" i="16"/>
  <c r="B8" i="16"/>
  <c r="B4" i="16"/>
  <c r="D3" i="11"/>
  <c r="D4" i="11"/>
  <c r="D5" i="11"/>
  <c r="D6" i="11"/>
  <c r="D7" i="11"/>
  <c r="D2" i="11"/>
  <c r="C6" i="11"/>
  <c r="C7" i="11"/>
  <c r="C4" i="11"/>
  <c r="C5" i="11"/>
  <c r="B7" i="8"/>
  <c r="B5" i="8"/>
  <c r="B3" i="8"/>
  <c r="C4" i="6"/>
  <c r="C5" i="6"/>
  <c r="C6" i="6"/>
  <c r="C7" i="6"/>
  <c r="C8" i="6"/>
  <c r="C9" i="6"/>
  <c r="C10" i="6"/>
  <c r="C11" i="6"/>
  <c r="C12" i="6"/>
  <c r="C13" i="6"/>
  <c r="C14" i="6"/>
  <c r="C15" i="6"/>
  <c r="C16" i="6"/>
  <c r="C17" i="6"/>
  <c r="C7" i="5"/>
  <c r="C8" i="5"/>
  <c r="C9" i="5"/>
  <c r="C10" i="5"/>
  <c r="C11" i="5"/>
  <c r="C6" i="5"/>
  <c r="D7" i="5"/>
  <c r="D8" i="5"/>
  <c r="D9" i="5"/>
  <c r="D10" i="5"/>
  <c r="D11" i="5"/>
  <c r="D6" i="5"/>
  <c r="B7" i="5"/>
  <c r="B8" i="5"/>
  <c r="B9" i="5"/>
  <c r="B10" i="5"/>
  <c r="B11" i="5"/>
  <c r="B6" i="5"/>
  <c r="B5" i="4"/>
  <c r="B6" i="4"/>
  <c r="B7" i="4"/>
  <c r="B8" i="4"/>
  <c r="B9" i="4"/>
  <c r="E14" i="3"/>
  <c r="E15" i="3"/>
  <c r="E16" i="3"/>
  <c r="E17" i="3"/>
  <c r="E13" i="3"/>
  <c r="D4" i="3"/>
  <c r="D5" i="3"/>
  <c r="D6" i="3"/>
  <c r="D7" i="3"/>
  <c r="D8" i="3"/>
  <c r="D17" i="3"/>
  <c r="D14" i="3"/>
  <c r="D15" i="3"/>
  <c r="D16" i="3"/>
  <c r="D13" i="3"/>
  <c r="C5" i="3"/>
  <c r="C6" i="3"/>
  <c r="C7" i="3"/>
  <c r="C8" i="3"/>
  <c r="C4" i="3"/>
  <c r="D5" i="7"/>
  <c r="B18" i="7" l="1"/>
  <c r="D2" i="8" l="1"/>
  <c r="B20" i="7"/>
  <c r="B19" i="7"/>
  <c r="D71" i="1" l="1"/>
  <c r="D70" i="1"/>
  <c r="D69" i="1"/>
  <c r="D62" i="1"/>
  <c r="D56" i="1"/>
  <c r="D55" i="1"/>
  <c r="D48" i="1"/>
  <c r="D47" i="1"/>
  <c r="D41" i="1"/>
  <c r="D40" i="1"/>
</calcChain>
</file>

<file path=xl/sharedStrings.xml><?xml version="1.0" encoding="utf-8"?>
<sst xmlns="http://schemas.openxmlformats.org/spreadsheetml/2006/main" count="383" uniqueCount="328">
  <si>
    <t>Text Functions</t>
  </si>
  <si>
    <r>
      <t xml:space="preserve">What? </t>
    </r>
    <r>
      <rPr>
        <sz val="11"/>
        <color theme="1"/>
        <rFont val="Calibri"/>
        <family val="2"/>
        <scheme val="minor"/>
      </rPr>
      <t>Formulas used to work with text strings, including RIGHT(), LEFT(), MID(), and "&amp;" to glue together text strings</t>
    </r>
  </si>
  <si>
    <r>
      <t xml:space="preserve">Why? </t>
    </r>
    <r>
      <rPr>
        <sz val="11"/>
        <color theme="1"/>
        <rFont val="Calibri"/>
        <family val="2"/>
        <scheme val="minor"/>
      </rPr>
      <t>These functions allow you to parse and combine text strings. Frequently useful when working with pulled from other data sources</t>
    </r>
  </si>
  <si>
    <t>List of all text functions</t>
  </si>
  <si>
    <t>Function</t>
  </si>
  <si>
    <t>Description</t>
  </si>
  <si>
    <t>&amp;</t>
  </si>
  <si>
    <t>Adds strings of text together</t>
  </si>
  <si>
    <t>ASC</t>
  </si>
  <si>
    <t>Changes full-width (double-byte) English letters or katakana within a character string to half-width (single-byte) characters</t>
  </si>
  <si>
    <t>'</t>
  </si>
  <si>
    <t>Anything following the ' sign is converted to a string.  Useful if trying to write the equals sign</t>
  </si>
  <si>
    <t>BAHTTEXT</t>
  </si>
  <si>
    <t>Converts a number to text, using the ß (baht) currency format</t>
  </si>
  <si>
    <t>" "</t>
  </si>
  <si>
    <t>Use double quotes (" ") to signify a string.  Example: 45 is a number, but "45" is a string of characters</t>
  </si>
  <si>
    <t>CHAR</t>
  </si>
  <si>
    <t>Returns the character specified by the code number</t>
  </si>
  <si>
    <t>CLEAN</t>
  </si>
  <si>
    <t>Removes all nonprintable characters from text</t>
  </si>
  <si>
    <t>CODE</t>
  </si>
  <si>
    <t>Returns a numeric code for the first character in a text string</t>
  </si>
  <si>
    <t>CONCATENATE</t>
  </si>
  <si>
    <t>Joins several text items into one text item</t>
  </si>
  <si>
    <t>DOLLAR</t>
  </si>
  <si>
    <t>Converts a number to text, using the $ (dollar) currency format</t>
  </si>
  <si>
    <t>EXACT</t>
  </si>
  <si>
    <t>Checks to see if two text values are identical</t>
  </si>
  <si>
    <t>FIND</t>
  </si>
  <si>
    <t>Finds one text value within another (case-sensitive)</t>
  </si>
  <si>
    <t>FIXED</t>
  </si>
  <si>
    <t>Formats a number as text with a fixed number of decimals</t>
  </si>
  <si>
    <t>JIS</t>
  </si>
  <si>
    <t>Changes half-width (single-byte) English letters or katakana within a character string to full-width (double-byte) characters</t>
  </si>
  <si>
    <t>LEFT</t>
  </si>
  <si>
    <t>Returns the leftmost characters from a text value</t>
  </si>
  <si>
    <t>LEN</t>
  </si>
  <si>
    <t>Returns the number of characters in a text string</t>
  </si>
  <si>
    <t>LOWER</t>
  </si>
  <si>
    <t>Converts text to lowercase</t>
  </si>
  <si>
    <t>MID</t>
  </si>
  <si>
    <t>Returns a specific number of characters from a text string starting at the position you specify</t>
  </si>
  <si>
    <t>PHONETIC</t>
  </si>
  <si>
    <t>Extracts the phonetic (furigana) characters from a text string</t>
  </si>
  <si>
    <t>PROPER</t>
  </si>
  <si>
    <t>Capitalizes the first letter in each word of a text value</t>
  </si>
  <si>
    <t>REPLACE</t>
  </si>
  <si>
    <t>Replaces characters within text</t>
  </si>
  <si>
    <t>REPT</t>
  </si>
  <si>
    <t>Repeats text a given number of times</t>
  </si>
  <si>
    <t>RIGHT</t>
  </si>
  <si>
    <t>Returns the rightmost characters from a text value</t>
  </si>
  <si>
    <t>SEARCH</t>
  </si>
  <si>
    <t>Finds one text value within another (not case-sensitive)</t>
  </si>
  <si>
    <t>SUBSTITUTE</t>
  </si>
  <si>
    <t>Substitutes new text for old text in a text string</t>
  </si>
  <si>
    <t>T</t>
  </si>
  <si>
    <t>Converts its arguments to text</t>
  </si>
  <si>
    <t>TEXT</t>
  </si>
  <si>
    <t>Formats a number and converts it to text</t>
  </si>
  <si>
    <t>TRIM</t>
  </si>
  <si>
    <t>Removes spaces from text, except for single spaces between words</t>
  </si>
  <si>
    <t>UPPER</t>
  </si>
  <si>
    <t>Converts text to uppercase</t>
  </si>
  <si>
    <t>VALUE</t>
  </si>
  <si>
    <t>Converts a text argument to a number</t>
  </si>
  <si>
    <t>Examples</t>
  </si>
  <si>
    <t>=RIGHT(text, [num-characters])</t>
  </si>
  <si>
    <t>Takes num-characters from the right side of text</t>
  </si>
  <si>
    <t>Text</t>
  </si>
  <si>
    <t>Formula</t>
  </si>
  <si>
    <t>Result</t>
  </si>
  <si>
    <t>Ahmed Samier</t>
  </si>
  <si>
    <t>=RIGHT(B9,4)</t>
  </si>
  <si>
    <t>=RIGHT(B10,1)</t>
  </si>
  <si>
    <t>=LEFT(text, [num-characters])</t>
  </si>
  <si>
    <t>Takes num-characters from the left side of text</t>
  </si>
  <si>
    <t>=LEFT(B16,4)</t>
  </si>
  <si>
    <t>=LEFT(B17,1)</t>
  </si>
  <si>
    <t>=MID(text, start-position, num-characters)</t>
  </si>
  <si>
    <t xml:space="preserve"> </t>
  </si>
  <si>
    <t>Takes num-characters from text starting at start-position</t>
  </si>
  <si>
    <t>Use a large number (like 999) for num-characters if you want to get all the remaining characters in a string</t>
  </si>
  <si>
    <t>=MID(B24,4,4)</t>
  </si>
  <si>
    <t>=MID(B25,FIND(" ",B25),999)</t>
  </si>
  <si>
    <t>&lt;-- Take all the characters starting from the first space</t>
  </si>
  <si>
    <t>=text1&amp;text2</t>
  </si>
  <si>
    <t>Glues text1 and text2 together</t>
  </si>
  <si>
    <t>=B31&amp;" was a Good Employee"</t>
  </si>
  <si>
    <t>=FIND(text-to-find, within-text, [start-position])</t>
  </si>
  <si>
    <t>Finds text-to-find within within-text and returns the character location of the text</t>
  </si>
  <si>
    <t>For basic cases, you don't need start-position</t>
  </si>
  <si>
    <t>Bill Clinton</t>
  </si>
  <si>
    <t>=FIND("l",B38)</t>
  </si>
  <si>
    <t>=FIND("n",B39,10)</t>
  </si>
  <si>
    <t>&lt;-- find a "n" starting from the 10th character(the "t" in Clinton)</t>
  </si>
  <si>
    <t>=FIND("X",B40)</t>
  </si>
  <si>
    <t>&lt;-- If text-to-find is not in the string FIND returns a value error</t>
  </si>
  <si>
    <t>Joining Text with the Ampersand (&amp;) Operator</t>
  </si>
  <si>
    <t>First Name</t>
  </si>
  <si>
    <t>Last Name</t>
  </si>
  <si>
    <t>Full Name</t>
  </si>
  <si>
    <t>Ahmed</t>
  </si>
  <si>
    <t>Mohamed</t>
  </si>
  <si>
    <t>Nora</t>
  </si>
  <si>
    <t>Kamal</t>
  </si>
  <si>
    <t>Osama</t>
  </si>
  <si>
    <t>Galal</t>
  </si>
  <si>
    <t>Nader</t>
  </si>
  <si>
    <t>Mahmoud</t>
  </si>
  <si>
    <t>Zaher</t>
  </si>
  <si>
    <t>Middle Name</t>
  </si>
  <si>
    <t>ali</t>
  </si>
  <si>
    <t>omar</t>
  </si>
  <si>
    <t>amr</t>
  </si>
  <si>
    <t>sayed</t>
  </si>
  <si>
    <t>ahmed</t>
  </si>
  <si>
    <t>Nora omar Kamal</t>
  </si>
  <si>
    <t>Osama amr Galal</t>
  </si>
  <si>
    <t>Part Number</t>
  </si>
  <si>
    <t>PRM-104020</t>
  </si>
  <si>
    <t>BOR-218620</t>
  </si>
  <si>
    <t>LUK-041580</t>
  </si>
  <si>
    <t>BWW-BC42TF</t>
  </si>
  <si>
    <t>BOR-10365B</t>
  </si>
  <si>
    <t>BOR-21764</t>
  </si>
  <si>
    <t>Book ID</t>
  </si>
  <si>
    <t>Book Title</t>
  </si>
  <si>
    <t>Price</t>
  </si>
  <si>
    <t>BS1001</t>
  </si>
  <si>
    <t>BS1002</t>
  </si>
  <si>
    <t xml:space="preserve">Trusted advisor </t>
  </si>
  <si>
    <t>BS1003</t>
  </si>
  <si>
    <t>Sound business</t>
  </si>
  <si>
    <t>BS1004</t>
  </si>
  <si>
    <t>Equity management</t>
  </si>
  <si>
    <t>Greatest man I never met</t>
  </si>
  <si>
    <t>FC1053</t>
  </si>
  <si>
    <t>Tomorrow</t>
  </si>
  <si>
    <t>FC1054</t>
  </si>
  <si>
    <t>Some rain must fall</t>
  </si>
  <si>
    <t>FC1055</t>
  </si>
  <si>
    <t>Stories, memories, thoughts</t>
  </si>
  <si>
    <t>GN1022</t>
  </si>
  <si>
    <t xml:space="preserve">Technique for producing ideas </t>
  </si>
  <si>
    <t>GN1023</t>
  </si>
  <si>
    <t>Walking the earth</t>
  </si>
  <si>
    <t>GN1024</t>
  </si>
  <si>
    <t>Fahrenheit twins</t>
  </si>
  <si>
    <t>HS1014</t>
  </si>
  <si>
    <t>Britain's royal families</t>
  </si>
  <si>
    <t>HS1015</t>
  </si>
  <si>
    <t>Maps of the ancient sea kings</t>
  </si>
  <si>
    <t>TR1045</t>
  </si>
  <si>
    <t>Paris</t>
  </si>
  <si>
    <t>Secrets of the millionaire mind Secrets</t>
  </si>
  <si>
    <t>Excel 2010 and Word 2010</t>
  </si>
  <si>
    <t>ABD250</t>
  </si>
  <si>
    <t>HKL980</t>
  </si>
  <si>
    <t>MKO879</t>
  </si>
  <si>
    <t>BND421</t>
  </si>
  <si>
    <t>NBV333</t>
  </si>
  <si>
    <t>Lower</t>
  </si>
  <si>
    <t>Upper</t>
  </si>
  <si>
    <t>Proper</t>
  </si>
  <si>
    <t>President</t>
  </si>
  <si>
    <t>Vote %</t>
  </si>
  <si>
    <t>Election</t>
  </si>
  <si>
    <t>Exercise 1</t>
  </si>
  <si>
    <t>Exercise 2</t>
  </si>
  <si>
    <t>Exercise 3</t>
  </si>
  <si>
    <t>* James K. Polk</t>
  </si>
  <si>
    <t>49.3%</t>
  </si>
  <si>
    <t>1844 election</t>
  </si>
  <si>
    <t>* Zachary Taylor</t>
  </si>
  <si>
    <t>47.3%</t>
  </si>
  <si>
    <t>1848 election</t>
  </si>
  <si>
    <t>* James Buchanan</t>
  </si>
  <si>
    <t>45.3%</t>
  </si>
  <si>
    <t>1856 election</t>
  </si>
  <si>
    <t>* Abraham Lincoln</t>
  </si>
  <si>
    <t>39.9%</t>
  </si>
  <si>
    <t>1860 election</t>
  </si>
  <si>
    <t>* James Garfield</t>
  </si>
  <si>
    <t>48.3%</t>
  </si>
  <si>
    <t>1880 election</t>
  </si>
  <si>
    <t>* Grover Cleveland</t>
  </si>
  <si>
    <t>48.8%</t>
  </si>
  <si>
    <t>1884 election</t>
  </si>
  <si>
    <t>46.0%</t>
  </si>
  <si>
    <t>1892 election</t>
  </si>
  <si>
    <t>* Woodrow Wilson</t>
  </si>
  <si>
    <t>41.8%</t>
  </si>
  <si>
    <t>1912 election</t>
  </si>
  <si>
    <t>1916 election</t>
  </si>
  <si>
    <t>* Harry S. Truman</t>
  </si>
  <si>
    <t>49.7%</t>
  </si>
  <si>
    <t>1948 election</t>
  </si>
  <si>
    <t>* John F. Kennedy</t>
  </si>
  <si>
    <t>1960 election</t>
  </si>
  <si>
    <t>* Richard Nixon</t>
  </si>
  <si>
    <t>43.2%</t>
  </si>
  <si>
    <t>1968 election</t>
  </si>
  <si>
    <t>* Bill Clinton</t>
  </si>
  <si>
    <t>42.9%</t>
  </si>
  <si>
    <t>1992 election</t>
  </si>
  <si>
    <t>49.2%</t>
  </si>
  <si>
    <t>1996 election</t>
  </si>
  <si>
    <t>Answers</t>
  </si>
  <si>
    <t>=LEFT(D8,4)</t>
  </si>
  <si>
    <t>=MID(B8,3,50)</t>
  </si>
  <si>
    <t>=F8&amp;" won the "&amp;E8&amp;" election with "&amp;C8&amp;" of the popular vote"</t>
  </si>
  <si>
    <t>FCc1052</t>
  </si>
  <si>
    <t xml:space="preserve">Pie Chart </t>
  </si>
  <si>
    <t xml:space="preserve">Gantt Chart </t>
  </si>
  <si>
    <t xml:space="preserve">Pareto chart </t>
  </si>
  <si>
    <t xml:space="preserve">Thermometer Chart </t>
  </si>
  <si>
    <t>Trendline</t>
  </si>
  <si>
    <t>Sparklines</t>
  </si>
  <si>
    <t xml:space="preserve">Gantt chart </t>
  </si>
  <si>
    <t xml:space="preserve">Parto chart </t>
  </si>
  <si>
    <t>Trendlin</t>
  </si>
  <si>
    <t>Exact Function is case sensetive</t>
  </si>
  <si>
    <r>
      <t xml:space="preserve">The </t>
    </r>
    <r>
      <rPr>
        <b/>
        <sz val="10"/>
        <color rgb="FFFF33CC"/>
        <rFont val="Calibri"/>
        <family val="2"/>
        <scheme val="minor"/>
      </rPr>
      <t>CONCATENATE</t>
    </r>
    <r>
      <rPr>
        <sz val="10"/>
        <color theme="1"/>
        <rFont val="Calibri"/>
        <family val="2"/>
        <scheme val="minor"/>
      </rPr>
      <t xml:space="preserve"> function joins several text strings into one text string.</t>
    </r>
  </si>
  <si>
    <r>
      <t xml:space="preserve">The </t>
    </r>
    <r>
      <rPr>
        <b/>
        <sz val="10"/>
        <color rgb="FFFF33CC"/>
        <rFont val="Calibri"/>
        <family val="2"/>
        <scheme val="minor"/>
      </rPr>
      <t>LEN</t>
    </r>
    <r>
      <rPr>
        <sz val="10"/>
        <color theme="1"/>
        <rFont val="Calibri"/>
        <family val="2"/>
        <scheme val="minor"/>
      </rPr>
      <t xml:space="preserve"> function returns the number of characters in a text string.</t>
    </r>
  </si>
  <si>
    <r>
      <t xml:space="preserve">The </t>
    </r>
    <r>
      <rPr>
        <b/>
        <sz val="10"/>
        <color rgb="FFFF33CC"/>
        <rFont val="Calibri"/>
        <family val="2"/>
        <scheme val="minor"/>
      </rPr>
      <t>LEFT</t>
    </r>
    <r>
      <rPr>
        <sz val="10"/>
        <color theme="1"/>
        <rFont val="Calibri"/>
        <family val="2"/>
        <scheme val="minor"/>
      </rPr>
      <t xml:space="preserve"> function returns the first character or characters in a text string, based on the number of characters specified.</t>
    </r>
  </si>
  <si>
    <r>
      <t xml:space="preserve">The </t>
    </r>
    <r>
      <rPr>
        <b/>
        <sz val="10"/>
        <color rgb="FFFF33CC"/>
        <rFont val="Calibri"/>
        <family val="2"/>
        <scheme val="minor"/>
      </rPr>
      <t>MID</t>
    </r>
    <r>
      <rPr>
        <sz val="10"/>
        <color theme="1"/>
        <rFont val="Calibri"/>
        <family val="2"/>
        <scheme val="minor"/>
      </rPr>
      <t xml:space="preserve"> returns a specific number of characters from a text string, starting at the position specified,based on the number of characters specified.</t>
    </r>
  </si>
  <si>
    <r>
      <t xml:space="preserve">The </t>
    </r>
    <r>
      <rPr>
        <b/>
        <sz val="10"/>
        <color rgb="FFFF33CC"/>
        <rFont val="Calibri"/>
        <family val="2"/>
        <scheme val="minor"/>
      </rPr>
      <t>RIGHT</t>
    </r>
    <r>
      <rPr>
        <sz val="10"/>
        <color theme="1"/>
        <rFont val="Calibri"/>
        <family val="2"/>
        <scheme val="minor"/>
      </rPr>
      <t xml:space="preserve"> function returns the last character or characters in a text string, based on the number of characters specified.</t>
    </r>
  </si>
  <si>
    <r>
      <t xml:space="preserve">If you know the text to be replaced, use the </t>
    </r>
    <r>
      <rPr>
        <b/>
        <sz val="11"/>
        <color rgb="FFFF33CC"/>
        <rFont val="Calibri"/>
        <family val="2"/>
        <scheme val="minor"/>
      </rPr>
      <t>SUBSTITUTE</t>
    </r>
    <r>
      <rPr>
        <b/>
        <sz val="11"/>
        <color theme="1"/>
        <rFont val="Calibri"/>
        <family val="2"/>
        <scheme val="minor"/>
      </rPr>
      <t xml:space="preserve"> function.</t>
    </r>
  </si>
  <si>
    <r>
      <t xml:space="preserve">If you know the position of the text to be replaced, use the </t>
    </r>
    <r>
      <rPr>
        <b/>
        <sz val="11"/>
        <color rgb="FFFF33CC"/>
        <rFont val="Calibri"/>
        <family val="2"/>
        <scheme val="minor"/>
      </rPr>
      <t>REPLACE</t>
    </r>
    <r>
      <rPr>
        <b/>
        <sz val="11"/>
        <color theme="1"/>
        <rFont val="Calibri"/>
        <family val="2"/>
        <scheme val="minor"/>
      </rPr>
      <t xml:space="preserve"> function</t>
    </r>
  </si>
  <si>
    <r>
      <t xml:space="preserve">Get simple, powerful tips for making spreadsheet information readable and understandable in Excel 2013. Dennis Taylor shows how to emphasize specific cells with fonts, borders, and color; adjust the positioning of cell contents; format numeric data; and add style and readability to worksheets. </t>
    </r>
    <r>
      <rPr>
        <sz val="11"/>
        <color rgb="FFFF0000"/>
        <rFont val="Calibri"/>
        <family val="2"/>
        <scheme val="minor"/>
      </rPr>
      <t/>
    </r>
  </si>
  <si>
    <t xml:space="preserve">Exact Function </t>
  </si>
  <si>
    <t xml:space="preserve">Trim Function </t>
  </si>
  <si>
    <t xml:space="preserve">Secrets    of the millionaire    mind Secrets   </t>
  </si>
  <si>
    <t xml:space="preserve">    Trusted advisor </t>
  </si>
  <si>
    <t>Sound   business</t>
  </si>
  <si>
    <t>Equity     management</t>
  </si>
  <si>
    <t xml:space="preserve">    Greatest man I never met</t>
  </si>
  <si>
    <t>606,360,516,1757,371</t>
  </si>
  <si>
    <t>1631,1337,1260,1855,2823</t>
  </si>
  <si>
    <t>904,749,486,1852,1612</t>
  </si>
  <si>
    <t>2463,1324,1889,2597,312</t>
  </si>
  <si>
    <t>1256,1839,1745,244,1508</t>
  </si>
  <si>
    <t>2159,2917,1699,1351,974</t>
  </si>
  <si>
    <t>1084,2379,1791,1933,507</t>
  </si>
  <si>
    <t>1686,2454,1954,256,1068</t>
  </si>
  <si>
    <t>1274,2330,2334,343,255</t>
  </si>
  <si>
    <t>303,2128,578,824,1714</t>
  </si>
  <si>
    <t>2989,2317,2196,642,2812</t>
  </si>
  <si>
    <t>1743,2122,2428,871,2701</t>
  </si>
  <si>
    <t>2817,2330,1217,407,327</t>
  </si>
  <si>
    <t>894,1893,1963,1641,2533</t>
  </si>
  <si>
    <t>2747,1952,243,2832,1487</t>
  </si>
  <si>
    <t>358,2674,1660,1006,1249</t>
  </si>
  <si>
    <t>1032,939,2172,2112,347</t>
  </si>
  <si>
    <t>2639,2489,2905,412,2877</t>
  </si>
  <si>
    <t>730,696,639,454,1591</t>
  </si>
  <si>
    <t>1774,2506,2690,2498,2407</t>
  </si>
  <si>
    <t>2406,493,1457,1317,2993</t>
  </si>
  <si>
    <t>1359,894,2281,2454,1239</t>
  </si>
  <si>
    <t>2847,1432,381,1518,941</t>
  </si>
  <si>
    <t>1597,313,1231,596,702</t>
  </si>
  <si>
    <t>2838,2547,846,868,1753</t>
  </si>
  <si>
    <t>2049,558,201,1034,351</t>
  </si>
  <si>
    <t>1395,1314,1004,489,275</t>
  </si>
  <si>
    <t>2628,2596,1901,2114,381</t>
  </si>
  <si>
    <t>1439,1574,2318,277,1202</t>
  </si>
  <si>
    <t>918,2177,621,1777,2106</t>
  </si>
  <si>
    <t>867,2906,2844,2173,1370</t>
  </si>
  <si>
    <t>2314,236,1387,1586,1106</t>
  </si>
  <si>
    <t>1316,1475,1791,1494,2405</t>
  </si>
  <si>
    <t>1006,795,1804,861,979</t>
  </si>
  <si>
    <t>Text to Columns button on Data ribbon</t>
  </si>
  <si>
    <t>Dates to parse</t>
  </si>
  <si>
    <t>Numbers to parse</t>
  </si>
  <si>
    <t>Results for a typical date</t>
  </si>
  <si>
    <t>Results for a typical number</t>
  </si>
  <si>
    <t>T.</t>
  </si>
  <si>
    <t>Jason</t>
  </si>
  <si>
    <t>Samson, Jason T.</t>
  </si>
  <si>
    <t>A.</t>
  </si>
  <si>
    <t>Ted</t>
  </si>
  <si>
    <t>Benson, Ted A.</t>
  </si>
  <si>
    <t>R.</t>
  </si>
  <si>
    <t>Peter</t>
  </si>
  <si>
    <t>Jennings, Peter R.</t>
  </si>
  <si>
    <t>F.</t>
  </si>
  <si>
    <t>Tom</t>
  </si>
  <si>
    <t>Smith, Tom F.</t>
  </si>
  <si>
    <t>S.</t>
  </si>
  <si>
    <t>Karen</t>
  </si>
  <si>
    <t>Williams, Karen S.</t>
  </si>
  <si>
    <t>B.</t>
  </si>
  <si>
    <t>Jennifer</t>
  </si>
  <si>
    <t>Kelley, Jennifer B.</t>
  </si>
  <si>
    <t>John</t>
  </si>
  <si>
    <t>Wilson, John T.</t>
  </si>
  <si>
    <t>Andy</t>
  </si>
  <si>
    <t>Thompson, Andy S.</t>
  </si>
  <si>
    <t>Stephen</t>
  </si>
  <si>
    <t>Davis, Stephen T.</t>
  </si>
  <si>
    <t>Wilson</t>
  </si>
  <si>
    <t>E.</t>
  </si>
  <si>
    <t>Bob</t>
  </si>
  <si>
    <t>Jones, Bob E.</t>
  </si>
  <si>
    <t>Names to parse</t>
  </si>
  <si>
    <t>julie roberts</t>
  </si>
  <si>
    <t>JTR</t>
  </si>
  <si>
    <t>Julie T. Roberts</t>
  </si>
  <si>
    <t>Julie Roberts</t>
  </si>
  <si>
    <t>Roberts</t>
  </si>
  <si>
    <t>Julie</t>
  </si>
  <si>
    <t>Roberts, Julie T.</t>
  </si>
  <si>
    <t>Results for a typical name</t>
  </si>
  <si>
    <t xml:space="preserve">LEFT, MID , RIGHT </t>
  </si>
  <si>
    <t xml:space="preserve">Replace  </t>
  </si>
  <si>
    <t>Lower, Upper, proper</t>
  </si>
  <si>
    <t xml:space="preserve">Substitute  </t>
  </si>
  <si>
    <r>
      <t>Exercise 1:</t>
    </r>
    <r>
      <rPr>
        <sz val="12"/>
        <rFont val="Gill Sans MT"/>
        <family val="2"/>
      </rPr>
      <t xml:space="preserve"> Capture the year from the election column</t>
    </r>
  </si>
  <si>
    <r>
      <t>Exercise 2:</t>
    </r>
    <r>
      <rPr>
        <sz val="12"/>
        <rFont val="Gill Sans MT"/>
        <family val="2"/>
      </rPr>
      <t xml:space="preserve"> Use a text formula to get rid of the * in front of the president's name</t>
    </r>
  </si>
  <si>
    <r>
      <t>Exercise 3:</t>
    </r>
    <r>
      <rPr>
        <sz val="12"/>
        <rFont val="Gill Sans MT"/>
        <family val="2"/>
      </rPr>
      <t xml:space="preserve"> Create a sentence that looks like this</t>
    </r>
    <r>
      <rPr>
        <sz val="12"/>
        <color rgb="FFFF33CC"/>
        <rFont val="Gill Sans MT"/>
        <family val="2"/>
      </rPr>
      <t xml:space="preserve"> </t>
    </r>
    <r>
      <rPr>
        <b/>
        <sz val="12"/>
        <color rgb="FFFF33CC"/>
        <rFont val="Gill Sans MT"/>
        <family val="2"/>
      </rPr>
      <t>"Bill Clinton won the 1996 election with 49.2% of the popular vote"</t>
    </r>
  </si>
  <si>
    <t xml:space="preserve">&amp; _CONCATENATE </t>
  </si>
  <si>
    <t>the Equal sign is Not-case sensetive</t>
  </si>
  <si>
    <t>Excel 2010 and Word 2010, Powerpoint 2010</t>
  </si>
  <si>
    <t>Excel 2010, Word 2010, PowerPoint 2010, Outlook 2010</t>
  </si>
  <si>
    <t>Ahmed ali Mohamed</t>
  </si>
  <si>
    <t>Nader sayed Ahmed</t>
  </si>
  <si>
    <t>Mahmoud ahmed Zaher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</si>
</sst>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4" formatCode="_(&quot;$&quot;* #,##0.00_);_(&quot;$&quot;* \(#,##0.00\);_(&quot;$&quot;* &quot;-&quot;??_);_(@_)"/>
    <numFmt numFmtId="43" formatCode="_(* #,##0.00_);_(* \(#,##0.00\);_(* &quot;-&quot;??_);_(@_)"/>
    <numFmt numFmtId="164" formatCode="&quot;$&quot;#,##0,"/>
    <numFmt numFmtId="165" formatCode="d\-mmm\-yyyy"/>
    <numFmt numFmtId="166" formatCode="#\ ???/???"/>
    <numFmt numFmtId="167" formatCode="&quot;$&quot;#,##0.00"/>
    <numFmt numFmtId="168" formatCode="[$-F800]dddd\,\ mmmm\ dd\,\ yyyy"/>
  </numFmts>
  <fonts count="39" x14ac:knownFonts="1">
    <font>
      <sz val="11"/>
      <color theme="1"/>
      <name val="Calibri"/>
      <family val="2"/>
      <scheme val="minor"/>
    </font>
    <font>
      <sz val="11"/>
      <color theme="1"/>
      <name val="Calibri"/>
      <family val="2"/>
      <scheme val="minor"/>
    </font>
    <font>
      <sz val="10"/>
      <name val="Gill Sans MT"/>
      <family val="2"/>
    </font>
    <font>
      <b/>
      <sz val="18"/>
      <color rgb="FFFF0000"/>
      <name val="Gill Sans MT"/>
      <family val="2"/>
    </font>
    <font>
      <sz val="12"/>
      <name val="Gill Sans MT"/>
      <family val="2"/>
    </font>
    <font>
      <b/>
      <sz val="14"/>
      <name val="Gill Sans MT"/>
      <family val="2"/>
    </font>
    <font>
      <b/>
      <sz val="10"/>
      <name val="Gill Sans MT"/>
      <family val="2"/>
    </font>
    <font>
      <b/>
      <sz val="18"/>
      <name val="Gill Sans MT"/>
      <family val="2"/>
    </font>
    <font>
      <b/>
      <sz val="12"/>
      <name val="Gill Sans MT"/>
      <family val="2"/>
    </font>
    <font>
      <i/>
      <sz val="12"/>
      <name val="Gill Sans MT"/>
      <family val="2"/>
    </font>
    <font>
      <b/>
      <i/>
      <u/>
      <sz val="10"/>
      <name val="Gill Sans MT"/>
      <family val="2"/>
    </font>
    <font>
      <sz val="12"/>
      <name val="Courier New"/>
      <family val="3"/>
    </font>
    <font>
      <sz val="10"/>
      <name val="Arial"/>
      <family val="2"/>
    </font>
    <font>
      <sz val="10"/>
      <color indexed="9"/>
      <name val="Arial"/>
      <family val="2"/>
    </font>
    <font>
      <b/>
      <sz val="14"/>
      <color theme="0"/>
      <name val="Calibri"/>
      <family val="2"/>
      <scheme val="minor"/>
    </font>
    <font>
      <sz val="12"/>
      <name val="Bookman Old Style"/>
      <family val="1"/>
    </font>
    <font>
      <b/>
      <sz val="10"/>
      <name val="Arial"/>
      <family val="2"/>
    </font>
    <font>
      <b/>
      <sz val="16"/>
      <color indexed="53"/>
      <name val="Bell MT"/>
      <family val="1"/>
    </font>
    <font>
      <b/>
      <sz val="11"/>
      <color rgb="FF3F3F3F"/>
      <name val="Calibri"/>
      <family val="2"/>
      <scheme val="minor"/>
    </font>
    <font>
      <b/>
      <sz val="11"/>
      <color theme="1"/>
      <name val="Calibri"/>
      <family val="2"/>
      <scheme val="minor"/>
    </font>
    <font>
      <b/>
      <sz val="11"/>
      <color theme="1"/>
      <name val="Calibri"/>
      <family val="2"/>
    </font>
    <font>
      <sz val="11"/>
      <color theme="1"/>
      <name val="Calibri"/>
      <family val="2"/>
    </font>
    <font>
      <sz val="10"/>
      <color theme="1"/>
      <name val="Calibri"/>
      <family val="2"/>
      <scheme val="minor"/>
    </font>
    <font>
      <sz val="11"/>
      <color rgb="FFFF0000"/>
      <name val="Calibri"/>
      <family val="2"/>
      <scheme val="minor"/>
    </font>
    <font>
      <b/>
      <sz val="14"/>
      <color rgb="FFFF0000"/>
      <name val="Calibri"/>
      <family val="2"/>
      <scheme val="minor"/>
    </font>
    <font>
      <i/>
      <sz val="10"/>
      <name val="Gill Sans MT"/>
      <family val="2"/>
    </font>
    <font>
      <b/>
      <sz val="14"/>
      <color rgb="FFFF0000"/>
      <name val="Gill Sans MT"/>
      <family val="2"/>
    </font>
    <font>
      <u/>
      <sz val="10"/>
      <color indexed="12"/>
      <name val="Gill Sans MT"/>
      <family val="2"/>
    </font>
    <font>
      <b/>
      <sz val="10"/>
      <color rgb="FFFF33CC"/>
      <name val="Calibri"/>
      <family val="2"/>
      <scheme val="minor"/>
    </font>
    <font>
      <b/>
      <sz val="11"/>
      <color rgb="FFFF33CC"/>
      <name val="Calibri"/>
      <family val="2"/>
      <scheme val="minor"/>
    </font>
    <font>
      <sz val="11"/>
      <color rgb="FFFF33CC"/>
      <name val="Calibri"/>
      <family val="2"/>
      <scheme val="minor"/>
    </font>
    <font>
      <b/>
      <sz val="14"/>
      <color rgb="FFFF33CC"/>
      <name val="Calibri"/>
      <family val="2"/>
      <scheme val="minor"/>
    </font>
    <font>
      <sz val="11"/>
      <name val="Calibri"/>
      <family val="2"/>
      <scheme val="minor"/>
    </font>
    <font>
      <b/>
      <sz val="18"/>
      <color rgb="FFFF33CC"/>
      <name val="Calibri"/>
      <family val="2"/>
      <scheme val="minor"/>
    </font>
    <font>
      <sz val="11"/>
      <color theme="0"/>
      <name val="Calibri"/>
      <family val="2"/>
      <scheme val="minor"/>
    </font>
    <font>
      <sz val="12"/>
      <color rgb="FFFF33CC"/>
      <name val="Gill Sans MT"/>
      <family val="2"/>
    </font>
    <font>
      <b/>
      <sz val="12"/>
      <color rgb="FFFF33CC"/>
      <name val="Gill Sans MT"/>
      <family val="2"/>
    </font>
    <font>
      <i/>
      <sz val="10"/>
      <color theme="0"/>
      <name val="Gill Sans MT"/>
      <family val="2"/>
    </font>
    <font>
      <b/>
      <sz val="10"/>
      <color theme="0"/>
      <name val="Gill Sans MT"/>
      <family val="2"/>
    </font>
  </fonts>
  <fills count="14">
    <fill>
      <patternFill patternType="none"/>
    </fill>
    <fill>
      <patternFill patternType="gray125"/>
    </fill>
    <fill>
      <patternFill patternType="solid">
        <fgColor theme="0" tint="-0.14999847407452621"/>
        <bgColor indexed="64"/>
      </patternFill>
    </fill>
    <fill>
      <patternFill patternType="solid">
        <fgColor indexed="22"/>
        <bgColor indexed="64"/>
      </patternFill>
    </fill>
    <fill>
      <patternFill patternType="solid">
        <fgColor indexed="9"/>
        <bgColor indexed="64"/>
      </patternFill>
    </fill>
    <fill>
      <patternFill patternType="solid">
        <fgColor indexed="31"/>
        <bgColor indexed="64"/>
      </patternFill>
    </fill>
    <fill>
      <patternFill patternType="solid">
        <fgColor indexed="12"/>
        <bgColor indexed="64"/>
      </patternFill>
    </fill>
    <fill>
      <patternFill patternType="solid">
        <fgColor rgb="FF002060"/>
        <bgColor indexed="64"/>
      </patternFill>
    </fill>
    <fill>
      <patternFill patternType="solid">
        <fgColor indexed="11"/>
        <bgColor indexed="64"/>
      </patternFill>
    </fill>
    <fill>
      <patternFill patternType="solid">
        <fgColor indexed="10"/>
        <bgColor indexed="64"/>
      </patternFill>
    </fill>
    <fill>
      <patternFill patternType="solid">
        <fgColor indexed="26"/>
      </patternFill>
    </fill>
    <fill>
      <patternFill patternType="solid">
        <fgColor indexed="13"/>
        <bgColor indexed="64"/>
      </patternFill>
    </fill>
    <fill>
      <patternFill patternType="solid">
        <fgColor rgb="FFF2F2F2"/>
      </patternFill>
    </fill>
    <fill>
      <patternFill patternType="solid">
        <fgColor theme="0" tint="-4.9989318521683403E-2"/>
        <bgColor indexed="64"/>
      </patternFill>
    </fill>
  </fills>
  <borders count="11">
    <border>
      <left/>
      <right/>
      <top/>
      <bottom/>
      <diagonal/>
    </border>
    <border>
      <left style="thin">
        <color indexed="22"/>
      </left>
      <right style="thin">
        <color indexed="22"/>
      </right>
      <top style="thin">
        <color indexed="22"/>
      </top>
      <bottom style="thin">
        <color indexed="22"/>
      </bottom>
      <diagonal/>
    </border>
    <border>
      <left style="thin">
        <color indexed="22"/>
      </left>
      <right/>
      <top style="thin">
        <color indexed="22"/>
      </top>
      <bottom style="thin">
        <color indexed="22"/>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ck">
        <color indexed="53"/>
      </left>
      <right style="thick">
        <color indexed="53"/>
      </right>
      <top style="thick">
        <color indexed="53"/>
      </top>
      <bottom style="thick">
        <color indexed="53"/>
      </bottom>
      <diagonal/>
    </border>
    <border>
      <left style="thin">
        <color rgb="FF3F3F3F"/>
      </left>
      <right style="thin">
        <color rgb="FF3F3F3F"/>
      </right>
      <top style="thin">
        <color rgb="FF3F3F3F"/>
      </top>
      <bottom style="thin">
        <color rgb="FF3F3F3F"/>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s>
  <cellStyleXfs count="23">
    <xf numFmtId="0" fontId="0" fillId="0" borderId="0"/>
    <xf numFmtId="0" fontId="2" fillId="0" borderId="0"/>
    <xf numFmtId="0" fontId="12" fillId="0" borderId="3"/>
    <xf numFmtId="0" fontId="13" fillId="6" borderId="3">
      <alignment wrapText="1"/>
    </xf>
    <xf numFmtId="0" fontId="13" fillId="6" borderId="3">
      <alignment horizontal="centerContinuous" wrapText="1"/>
    </xf>
    <xf numFmtId="0" fontId="14" fillId="7" borderId="4" applyBorder="0">
      <alignment horizontal="centerContinuous" wrapText="1"/>
    </xf>
    <xf numFmtId="43" fontId="2" fillId="0" borderId="0" applyFont="0" applyFill="0" applyBorder="0" applyAlignment="0" applyProtection="0"/>
    <xf numFmtId="43" fontId="12" fillId="0" borderId="0" applyFont="0" applyFill="0" applyBorder="0" applyAlignment="0" applyProtection="0"/>
    <xf numFmtId="44" fontId="12" fillId="0" borderId="0" applyFont="0" applyFill="0" applyBorder="0" applyAlignment="0" applyProtection="0"/>
    <xf numFmtId="164" fontId="15" fillId="0" borderId="0"/>
    <xf numFmtId="165" fontId="16" fillId="0" borderId="0" applyFont="0" applyFill="0" applyBorder="0" applyProtection="0">
      <alignment horizontal="center"/>
    </xf>
    <xf numFmtId="0" fontId="12" fillId="0" borderId="0"/>
    <xf numFmtId="0" fontId="1" fillId="0" borderId="0"/>
    <xf numFmtId="0" fontId="12" fillId="0" borderId="0"/>
    <xf numFmtId="9" fontId="12" fillId="0" borderId="0" applyFont="0" applyFill="0" applyBorder="0" applyAlignment="0" applyProtection="0"/>
    <xf numFmtId="166" fontId="17" fillId="8" borderId="5">
      <alignment horizontal="left" indent="2"/>
    </xf>
    <xf numFmtId="0" fontId="12" fillId="9" borderId="3">
      <alignment horizontal="centerContinuous" wrapText="1"/>
    </xf>
    <xf numFmtId="0" fontId="12" fillId="0" borderId="0">
      <alignment wrapText="1"/>
    </xf>
    <xf numFmtId="0" fontId="12" fillId="10" borderId="0" applyNumberFormat="0" applyFont="0" applyBorder="0" applyAlignment="0" applyProtection="0"/>
    <xf numFmtId="0" fontId="12" fillId="11" borderId="3">
      <alignment horizontal="centerContinuous" wrapText="1"/>
    </xf>
    <xf numFmtId="0" fontId="18" fillId="12" borderId="6" applyNumberFormat="0" applyAlignment="0" applyProtection="0"/>
    <xf numFmtId="0" fontId="27" fillId="0" borderId="0" applyNumberFormat="0" applyFill="0" applyBorder="0" applyAlignment="0" applyProtection="0">
      <alignment vertical="top"/>
      <protection locked="0"/>
    </xf>
    <xf numFmtId="0" fontId="12" fillId="0" borderId="0"/>
  </cellStyleXfs>
  <cellXfs count="90">
    <xf numFmtId="0" fontId="0" fillId="0" borderId="0" xfId="0"/>
    <xf numFmtId="0" fontId="4" fillId="0" borderId="0" xfId="1" applyFont="1" applyAlignment="1">
      <alignment vertical="top" wrapText="1"/>
    </xf>
    <xf numFmtId="0" fontId="4" fillId="0" borderId="0" xfId="1" applyFont="1" applyAlignment="1">
      <alignment vertical="top"/>
    </xf>
    <xf numFmtId="0" fontId="5" fillId="0" borderId="0" xfId="1" applyFont="1" applyAlignment="1">
      <alignment horizontal="left"/>
    </xf>
    <xf numFmtId="0" fontId="6" fillId="0" borderId="0" xfId="1" applyFont="1"/>
    <xf numFmtId="0" fontId="7" fillId="0" borderId="0" xfId="1" applyFont="1"/>
    <xf numFmtId="0" fontId="2" fillId="0" borderId="0" xfId="1"/>
    <xf numFmtId="0" fontId="6" fillId="3" borderId="1" xfId="1" applyFont="1" applyFill="1" applyBorder="1" applyAlignment="1">
      <alignment horizontal="left" wrapText="1"/>
    </xf>
    <xf numFmtId="0" fontId="6" fillId="3" borderId="2" xfId="1" applyFont="1" applyFill="1" applyBorder="1" applyAlignment="1">
      <alignment horizontal="left" wrapText="1"/>
    </xf>
    <xf numFmtId="0" fontId="6" fillId="2" borderId="3" xfId="1" applyFont="1" applyFill="1" applyBorder="1" applyAlignment="1">
      <alignment horizontal="center"/>
    </xf>
    <xf numFmtId="0" fontId="2" fillId="0" borderId="1" xfId="1" applyBorder="1"/>
    <xf numFmtId="0" fontId="2" fillId="4" borderId="2" xfId="1" applyFill="1" applyBorder="1" applyAlignment="1">
      <alignment vertical="top" wrapText="1"/>
    </xf>
    <xf numFmtId="0" fontId="6" fillId="2" borderId="3" xfId="1" quotePrefix="1" applyFont="1" applyFill="1" applyBorder="1" applyAlignment="1">
      <alignment horizontal="center"/>
    </xf>
    <xf numFmtId="0" fontId="2" fillId="2" borderId="3" xfId="1" applyFill="1" applyBorder="1" applyAlignment="1">
      <alignment horizontal="center"/>
    </xf>
    <xf numFmtId="0" fontId="2" fillId="4" borderId="1" xfId="1" applyFill="1" applyBorder="1" applyAlignment="1">
      <alignment vertical="top" wrapText="1"/>
    </xf>
    <xf numFmtId="0" fontId="2" fillId="4" borderId="0" xfId="1" applyFill="1" applyAlignment="1">
      <alignment vertical="top" wrapText="1"/>
    </xf>
    <xf numFmtId="0" fontId="8" fillId="0" borderId="0" xfId="1" quotePrefix="1" applyFont="1" applyAlignment="1">
      <alignment vertical="top"/>
    </xf>
    <xf numFmtId="0" fontId="9" fillId="0" borderId="0" xfId="1" applyFont="1" applyAlignment="1">
      <alignment horizontal="left" vertical="top" wrapText="1"/>
    </xf>
    <xf numFmtId="0" fontId="2" fillId="0" borderId="0" xfId="1" applyAlignment="1">
      <alignment vertical="top"/>
    </xf>
    <xf numFmtId="0" fontId="10" fillId="5" borderId="0" xfId="1" applyFont="1" applyFill="1" applyAlignment="1">
      <alignment horizontal="left" vertical="top" wrapText="1"/>
    </xf>
    <xf numFmtId="0" fontId="11" fillId="5" borderId="0" xfId="1" applyFont="1" applyFill="1" applyAlignment="1">
      <alignment vertical="top"/>
    </xf>
    <xf numFmtId="0" fontId="4" fillId="5" borderId="0" xfId="1" quotePrefix="1" applyFont="1" applyFill="1" applyAlignment="1">
      <alignment horizontal="left" vertical="top"/>
    </xf>
    <xf numFmtId="0" fontId="4" fillId="5" borderId="0" xfId="1" applyFont="1" applyFill="1" applyAlignment="1">
      <alignment vertical="top"/>
    </xf>
    <xf numFmtId="0" fontId="4" fillId="5" borderId="0" xfId="1" applyFont="1" applyFill="1" applyAlignment="1">
      <alignment horizontal="left" vertical="top"/>
    </xf>
    <xf numFmtId="0" fontId="4" fillId="0" borderId="0" xfId="1" applyFont="1" applyAlignment="1">
      <alignment horizontal="left" vertical="top" wrapText="1"/>
    </xf>
    <xf numFmtId="0" fontId="2" fillId="0" borderId="3" xfId="1" applyBorder="1" applyAlignment="1">
      <alignment wrapText="1"/>
    </xf>
    <xf numFmtId="0" fontId="2" fillId="0" borderId="0" xfId="1" applyAlignment="1">
      <alignment vertical="top" wrapText="1"/>
    </xf>
    <xf numFmtId="0" fontId="4" fillId="0" borderId="0" xfId="1" quotePrefix="1" applyFont="1" applyAlignment="1">
      <alignment horizontal="left" vertical="top" wrapText="1"/>
    </xf>
    <xf numFmtId="0" fontId="2" fillId="0" borderId="0" xfId="1" applyAlignment="1">
      <alignment horizontal="left" vertical="top" wrapText="1"/>
    </xf>
    <xf numFmtId="0" fontId="19" fillId="0" borderId="0" xfId="0" applyFont="1"/>
    <xf numFmtId="0" fontId="0" fillId="0" borderId="0" xfId="0" applyAlignment="1">
      <alignment wrapText="1"/>
    </xf>
    <xf numFmtId="14" fontId="0" fillId="0" borderId="0" xfId="0" applyNumberFormat="1"/>
    <xf numFmtId="168" fontId="0" fillId="0" borderId="0" xfId="0" applyNumberFormat="1"/>
    <xf numFmtId="0" fontId="24" fillId="0" borderId="0" xfId="0" applyFont="1" applyAlignment="1">
      <alignment vertical="center"/>
    </xf>
    <xf numFmtId="0" fontId="0" fillId="0" borderId="0" xfId="0" applyAlignment="1">
      <alignment horizontal="left" vertical="top" wrapText="1"/>
    </xf>
    <xf numFmtId="0" fontId="5" fillId="0" borderId="0" xfId="0" applyFont="1" applyAlignment="1">
      <alignment horizontal="left"/>
    </xf>
    <xf numFmtId="0" fontId="8" fillId="0" borderId="0" xfId="0" applyFont="1"/>
    <xf numFmtId="0" fontId="6" fillId="0" borderId="0" xfId="0" applyFont="1"/>
    <xf numFmtId="10" fontId="0" fillId="0" borderId="0" xfId="0" applyNumberFormat="1"/>
    <xf numFmtId="0" fontId="0" fillId="0" borderId="0" xfId="0" quotePrefix="1"/>
    <xf numFmtId="0" fontId="25" fillId="0" borderId="0" xfId="0" applyFont="1"/>
    <xf numFmtId="0" fontId="26" fillId="0" borderId="0" xfId="0" applyFont="1" applyAlignment="1">
      <alignment horizontal="left"/>
    </xf>
    <xf numFmtId="0" fontId="21" fillId="0" borderId="3" xfId="0" applyFont="1" applyBorder="1"/>
    <xf numFmtId="0" fontId="18" fillId="13" borderId="3" xfId="20" applyFill="1" applyBorder="1"/>
    <xf numFmtId="0" fontId="20" fillId="13" borderId="3" xfId="0" applyFont="1" applyFill="1" applyBorder="1"/>
    <xf numFmtId="0" fontId="0" fillId="13" borderId="0" xfId="0" applyFill="1"/>
    <xf numFmtId="0" fontId="0" fillId="0" borderId="3" xfId="0" applyBorder="1"/>
    <xf numFmtId="0" fontId="19" fillId="13" borderId="3" xfId="0" applyFont="1" applyFill="1" applyBorder="1"/>
    <xf numFmtId="0" fontId="29" fillId="13" borderId="0" xfId="0" applyFont="1" applyFill="1" applyAlignment="1">
      <alignment vertical="center"/>
    </xf>
    <xf numFmtId="167" fontId="0" fillId="0" borderId="3" xfId="0" applyNumberFormat="1" applyBorder="1"/>
    <xf numFmtId="0" fontId="30" fillId="0" borderId="0" xfId="0" applyFont="1"/>
    <xf numFmtId="0" fontId="0" fillId="0" borderId="0" xfId="0" applyAlignment="1">
      <alignment vertical="top"/>
    </xf>
    <xf numFmtId="0" fontId="31" fillId="13" borderId="3" xfId="0" applyFont="1" applyFill="1" applyBorder="1" applyAlignment="1">
      <alignment vertical="center"/>
    </xf>
    <xf numFmtId="0" fontId="0" fillId="0" borderId="3" xfId="0" applyBorder="1" applyAlignment="1">
      <alignment vertical="top" wrapText="1"/>
    </xf>
    <xf numFmtId="0" fontId="0" fillId="0" borderId="9" xfId="0" applyBorder="1" applyAlignment="1">
      <alignment horizontal="center"/>
    </xf>
    <xf numFmtId="0" fontId="0" fillId="0" borderId="9" xfId="0" applyBorder="1"/>
    <xf numFmtId="0" fontId="0" fillId="13" borderId="0" xfId="0" applyFill="1" applyAlignment="1">
      <alignment horizontal="center"/>
    </xf>
    <xf numFmtId="167" fontId="0" fillId="0" borderId="0" xfId="0" applyNumberFormat="1"/>
    <xf numFmtId="0" fontId="0" fillId="2" borderId="0" xfId="0" applyFill="1"/>
    <xf numFmtId="2" fontId="0" fillId="0" borderId="0" xfId="0" applyNumberFormat="1"/>
    <xf numFmtId="0" fontId="32" fillId="2" borderId="0" xfId="11" applyFont="1" applyFill="1"/>
    <xf numFmtId="0" fontId="32" fillId="0" borderId="0" xfId="11" applyFont="1"/>
    <xf numFmtId="0" fontId="33" fillId="13" borderId="3" xfId="0" applyFont="1" applyFill="1" applyBorder="1" applyAlignment="1">
      <alignment vertical="center"/>
    </xf>
    <xf numFmtId="10" fontId="0" fillId="0" borderId="3" xfId="0" applyNumberFormat="1" applyBorder="1"/>
    <xf numFmtId="0" fontId="0" fillId="0" borderId="3" xfId="0" quotePrefix="1" applyBorder="1"/>
    <xf numFmtId="0" fontId="6" fillId="13" borderId="3" xfId="0" applyFont="1" applyFill="1" applyBorder="1"/>
    <xf numFmtId="0" fontId="37" fillId="0" borderId="0" xfId="0" applyFont="1"/>
    <xf numFmtId="0" fontId="34" fillId="0" borderId="0" xfId="0" applyFont="1"/>
    <xf numFmtId="0" fontId="38" fillId="0" borderId="0" xfId="0" applyFont="1"/>
    <xf numFmtId="0" fontId="34" fillId="0" borderId="0" xfId="0" quotePrefix="1" applyFont="1"/>
    <xf numFmtId="0" fontId="19" fillId="0" borderId="3" xfId="0" applyFont="1" applyBorder="1"/>
    <xf numFmtId="0" fontId="23" fillId="0" borderId="0" xfId="0" applyFont="1"/>
    <xf numFmtId="0" fontId="0" fillId="13" borderId="3" xfId="0" applyFill="1" applyBorder="1"/>
    <xf numFmtId="0" fontId="32" fillId="0" borderId="0" xfId="0" applyFont="1"/>
    <xf numFmtId="0" fontId="9" fillId="0" borderId="0" xfId="1" applyFont="1" applyAlignment="1">
      <alignment horizontal="left" vertical="top" wrapText="1"/>
    </xf>
    <xf numFmtId="0" fontId="3" fillId="2" borderId="0" xfId="1" applyFont="1" applyFill="1" applyAlignment="1">
      <alignment horizontal="center"/>
    </xf>
    <xf numFmtId="0" fontId="3" fillId="0" borderId="0" xfId="1" applyFont="1" applyAlignment="1">
      <alignment horizontal="center"/>
    </xf>
    <xf numFmtId="0" fontId="33" fillId="13" borderId="0" xfId="0" applyFont="1" applyFill="1" applyAlignment="1">
      <alignment horizontal="left" vertical="center"/>
    </xf>
    <xf numFmtId="0" fontId="22" fillId="0" borderId="0" xfId="0" applyFont="1" applyAlignment="1">
      <alignment horizontal="center"/>
    </xf>
    <xf numFmtId="0" fontId="22" fillId="0" borderId="0" xfId="0" applyFont="1" applyAlignment="1">
      <alignment horizontal="left" vertical="center" wrapText="1"/>
    </xf>
    <xf numFmtId="0" fontId="22" fillId="0" borderId="7" xfId="0" applyFont="1" applyBorder="1" applyAlignment="1">
      <alignment horizontal="left" vertical="center" wrapText="1"/>
    </xf>
    <xf numFmtId="0" fontId="33" fillId="13" borderId="3" xfId="0" applyFont="1" applyFill="1" applyBorder="1" applyAlignment="1">
      <alignment horizontal="left" vertical="center"/>
    </xf>
    <xf numFmtId="0" fontId="19" fillId="13" borderId="8" xfId="0" applyFont="1" applyFill="1" applyBorder="1" applyAlignment="1">
      <alignment horizontal="left" vertical="center" wrapText="1"/>
    </xf>
    <xf numFmtId="0" fontId="33" fillId="13" borderId="4" xfId="0" applyFont="1" applyFill="1" applyBorder="1" applyAlignment="1">
      <alignment horizontal="left" vertical="center"/>
    </xf>
    <xf numFmtId="0" fontId="33" fillId="13" borderId="10" xfId="0" applyFont="1" applyFill="1" applyBorder="1" applyAlignment="1">
      <alignment horizontal="left" vertical="center"/>
    </xf>
    <xf numFmtId="0" fontId="0" fillId="0" borderId="0" xfId="0" applyAlignment="1">
      <alignment horizontal="left"/>
    </xf>
    <xf numFmtId="0" fontId="0" fillId="0" borderId="0" xfId="0" applyAlignment="1">
      <alignment vertical="center"/>
    </xf>
    <xf numFmtId="0" fontId="0" fillId="0" borderId="0" xfId="0" applyAlignment="1">
      <alignment horizontal="left" vertical="top"/>
    </xf>
    <xf numFmtId="0" fontId="0" fillId="0" borderId="3" xfId="0" applyBorder="1" applyAlignment="1">
      <alignment horizontal="left" vertical="top"/>
    </xf>
    <xf numFmtId="10" fontId="0" fillId="0" borderId="3" xfId="0" quotePrefix="1" applyNumberFormat="1" applyBorder="1"/>
  </cellXfs>
  <cellStyles count="23">
    <cellStyle name="b" xfId="2" xr:uid="{00000000-0005-0000-0000-000000000000}"/>
    <cellStyle name="blue" xfId="3" xr:uid="{00000000-0005-0000-0000-000001000000}"/>
    <cellStyle name="bluecenteraccrossselection" xfId="4" xr:uid="{00000000-0005-0000-0000-000002000000}"/>
    <cellStyle name="BlueTitle" xfId="5" xr:uid="{00000000-0005-0000-0000-000003000000}"/>
    <cellStyle name="Comma 2" xfId="6" xr:uid="{00000000-0005-0000-0000-000004000000}"/>
    <cellStyle name="Comma 3" xfId="7" xr:uid="{00000000-0005-0000-0000-000005000000}"/>
    <cellStyle name="Currency 2" xfId="8" xr:uid="{00000000-0005-0000-0000-000006000000}"/>
    <cellStyle name="Currency Round to thousands" xfId="9" xr:uid="{00000000-0005-0000-0000-000007000000}"/>
    <cellStyle name="Four-Digit Year" xfId="10" xr:uid="{00000000-0005-0000-0000-000008000000}"/>
    <cellStyle name="Hyperlink 2" xfId="21" xr:uid="{00000000-0005-0000-0000-000009000000}"/>
    <cellStyle name="Normal" xfId="0" builtinId="0"/>
    <cellStyle name="Normal 2" xfId="11" xr:uid="{00000000-0005-0000-0000-00000B000000}"/>
    <cellStyle name="Normal 3" xfId="1" xr:uid="{00000000-0005-0000-0000-00000C000000}"/>
    <cellStyle name="Normal 3 2" xfId="12" xr:uid="{00000000-0005-0000-0000-00000D000000}"/>
    <cellStyle name="Normal 4" xfId="13" xr:uid="{00000000-0005-0000-0000-00000E000000}"/>
    <cellStyle name="Normal 4 2" xfId="22" xr:uid="{00000000-0005-0000-0000-00000F000000}"/>
    <cellStyle name="Output" xfId="20" builtinId="21"/>
    <cellStyle name="Percent 2" xfId="14" xr:uid="{00000000-0005-0000-0000-000011000000}"/>
    <cellStyle name="Rad" xfId="15" xr:uid="{00000000-0005-0000-0000-000012000000}"/>
    <cellStyle name="redcenteraccrossselection" xfId="16" xr:uid="{00000000-0005-0000-0000-000013000000}"/>
    <cellStyle name="Wrap Text" xfId="17" xr:uid="{00000000-0005-0000-0000-000014000000}"/>
    <cellStyle name="Yellow" xfId="18" xr:uid="{00000000-0005-0000-0000-000015000000}"/>
    <cellStyle name="yellowcenteraccrossselection" xfId="19" xr:uid="{00000000-0005-0000-0000-000016000000}"/>
  </cellStyles>
  <dxfs count="0"/>
  <tableStyles count="0" defaultTableStyle="TableStyleMedium2" defaultPivotStyle="PivotStyleLight16"/>
  <colors>
    <mruColors>
      <color rgb="FFFF33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1.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3.xml"/><Relationship Id="rId23" Type="http://schemas.microsoft.com/office/2017/10/relationships/person" Target="persons/person.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2.xml"/><Relationship Id="rId22"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gif"/></Relationships>
</file>

<file path=xl/drawings/drawing1.xml><?xml version="1.0" encoding="utf-8"?>
<xdr:wsDr xmlns:xdr="http://schemas.openxmlformats.org/drawingml/2006/spreadsheetDrawing" xmlns:a="http://schemas.openxmlformats.org/drawingml/2006/main">
  <xdr:oneCellAnchor>
    <xdr:from>
      <xdr:col>0</xdr:col>
      <xdr:colOff>0</xdr:colOff>
      <xdr:row>1</xdr:row>
      <xdr:rowOff>57150</xdr:rowOff>
    </xdr:from>
    <xdr:ext cx="2800350" cy="871438"/>
    <xdr:pic>
      <xdr:nvPicPr>
        <xdr:cNvPr id="2" name="Picture 1">
          <a:extLst>
            <a:ext uri="{FF2B5EF4-FFF2-40B4-BE49-F238E27FC236}">
              <a16:creationId xmlns:a16="http://schemas.microsoft.com/office/drawing/2014/main" id="{3F786E18-2E10-4271-9B68-2AEB4D887D2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247650"/>
          <a:ext cx="2800350" cy="871438"/>
        </a:xfrm>
        <a:prstGeom prst="rect">
          <a:avLst/>
        </a:prstGeom>
        <a:ln>
          <a:solidFill>
            <a:schemeClr val="tx1"/>
          </a:solidFill>
        </a:ln>
      </xdr:spPr>
    </xdr:pic>
    <xdr:clientData/>
  </xdr:oneCellAnchor>
</xdr:wsDr>
</file>

<file path=xl/drawings/drawing2.xml><?xml version="1.0" encoding="utf-8"?>
<xdr:wsDr xmlns:xdr="http://schemas.openxmlformats.org/drawingml/2006/spreadsheetDrawing" xmlns:a="http://schemas.openxmlformats.org/drawingml/2006/main">
  <xdr:twoCellAnchor>
    <xdr:from>
      <xdr:col>1</xdr:col>
      <xdr:colOff>0</xdr:colOff>
      <xdr:row>1</xdr:row>
      <xdr:rowOff>190495</xdr:rowOff>
    </xdr:from>
    <xdr:to>
      <xdr:col>9</xdr:col>
      <xdr:colOff>0</xdr:colOff>
      <xdr:row>52</xdr:row>
      <xdr:rowOff>152400</xdr:rowOff>
    </xdr:to>
    <xdr:sp macro="" textlink="">
      <xdr:nvSpPr>
        <xdr:cNvPr id="2" name="TextBox 1">
          <a:extLst>
            <a:ext uri="{FF2B5EF4-FFF2-40B4-BE49-F238E27FC236}">
              <a16:creationId xmlns:a16="http://schemas.microsoft.com/office/drawing/2014/main" id="{3729883A-7A1F-42BC-BC22-058ADD81D85E}"/>
            </a:ext>
          </a:extLst>
        </xdr:cNvPr>
        <xdr:cNvSpPr txBox="1"/>
      </xdr:nvSpPr>
      <xdr:spPr>
        <a:xfrm>
          <a:off x="590550" y="380995"/>
          <a:ext cx="4724400" cy="9677405"/>
        </a:xfrm>
        <a:prstGeom prst="round2DiagRect">
          <a:avLst/>
        </a:prstGeom>
        <a:ln>
          <a:headEnd type="none" w="med" len="med"/>
          <a:tailEnd type="none" w="med" len="med"/>
        </a:ln>
      </xdr:spPr>
      <xdr:style>
        <a:lnRef idx="2">
          <a:schemeClr val="accent1"/>
        </a:lnRef>
        <a:fillRef idx="1">
          <a:schemeClr val="lt1"/>
        </a:fillRef>
        <a:effectRef idx="0">
          <a:schemeClr val="accent1"/>
        </a:effectRef>
        <a:fontRef idx="minor">
          <a:schemeClr val="dk1"/>
        </a:fontRef>
      </xdr:style>
      <xdr:txBody>
        <a:bodyPr vertOverflow="clip" vert="horz" rtlCol="0" anchor="t"/>
        <a:lstStyle/>
        <a:p>
          <a:r>
            <a:rPr lang="en-US" sz="1100" b="1">
              <a:solidFill>
                <a:srgbClr val="000000"/>
              </a:solidFill>
              <a:latin typeface="+mn-lt"/>
              <a:ea typeface="+mn-ea"/>
              <a:cs typeface="+mn-cs"/>
            </a:rPr>
            <a:t>Flash Fill</a:t>
          </a:r>
          <a:endParaRPr lang="en-US" sz="1100" b="0">
            <a:solidFill>
              <a:srgbClr val="000000"/>
            </a:solidFill>
            <a:latin typeface="+mn-lt"/>
            <a:ea typeface="+mn-ea"/>
            <a:cs typeface="+mn-cs"/>
          </a:endParaRPr>
        </a:p>
        <a:p>
          <a:endParaRPr lang="en-US" sz="1100" b="0" baseline="0">
            <a:solidFill>
              <a:srgbClr val="000000"/>
            </a:solidFill>
            <a:latin typeface="+mn-lt"/>
            <a:ea typeface="+mn-ea"/>
            <a:cs typeface="+mn-cs"/>
          </a:endParaRPr>
        </a:p>
        <a:p>
          <a:r>
            <a:rPr lang="en-US" sz="1100" b="0" baseline="0">
              <a:solidFill>
                <a:srgbClr val="000000"/>
              </a:solidFill>
              <a:latin typeface="+mn-lt"/>
              <a:ea typeface="+mn-ea"/>
              <a:cs typeface="+mn-cs"/>
            </a:rPr>
            <a:t>Has Excel become a mind reader with the new Flash Fill tool introduced in Excel 2013? You might think so after you read this topic. However, it's not really about mind reading but rather about the ability to recognize patterns. </a:t>
          </a:r>
        </a:p>
        <a:p>
          <a:endParaRPr lang="en-US" sz="1100" b="1" baseline="0">
            <a:solidFill>
              <a:srgbClr val="000000"/>
            </a:solidFill>
            <a:latin typeface="+mn-lt"/>
            <a:ea typeface="+mn-ea"/>
            <a:cs typeface="+mn-cs"/>
          </a:endParaRPr>
        </a:p>
        <a:p>
          <a:r>
            <a:rPr lang="en-US" sz="1100" b="0" baseline="0">
              <a:solidFill>
                <a:srgbClr val="000000"/>
              </a:solidFill>
              <a:latin typeface="+mn-lt"/>
              <a:ea typeface="+mn-ea"/>
              <a:cs typeface="+mn-cs"/>
            </a:rPr>
            <a:t>Specifically, Flash Fill allows you to parse names, numbers, or dates without any formulas </a:t>
          </a:r>
          <a:r>
            <a:rPr lang="en-US" sz="1100" b="0" i="1" baseline="0">
              <a:solidFill>
                <a:srgbClr val="000000"/>
              </a:solidFill>
              <a:latin typeface="+mn-lt"/>
              <a:ea typeface="+mn-ea"/>
              <a:cs typeface="+mn-cs"/>
            </a:rPr>
            <a:t>if </a:t>
          </a:r>
          <a:r>
            <a:rPr lang="en-US" sz="1100" b="0" i="0" baseline="0">
              <a:solidFill>
                <a:srgbClr val="000000"/>
              </a:solidFill>
              <a:latin typeface="+mn-lt"/>
              <a:ea typeface="+mn-ea"/>
              <a:cs typeface="+mn-cs"/>
            </a:rPr>
            <a:t>the items in your list follow a recognizable pattern. A typical example where it applies is in the list of names to the right. Each name follows a pattern: last name, comma and space, first name, space, middle initial and period. Row 4 illustrates the desired results in gray. There are several ways to proceed, and you can try any of these methods. </a:t>
          </a:r>
          <a:r>
            <a:rPr lang="en-US" sz="1100">
              <a:solidFill>
                <a:schemeClr val="dk1"/>
              </a:solidFill>
              <a:effectLst/>
              <a:latin typeface="+mn-lt"/>
              <a:ea typeface="+mn-ea"/>
              <a:cs typeface="+mn-cs"/>
            </a:rPr>
            <a:t>Just be aware that each method works only one column at a time, and you must proceed from left to right, starting in the column adjacent to the data column.</a:t>
          </a:r>
          <a:endParaRPr lang="en-US" sz="1100" b="0" i="0" baseline="0">
            <a:solidFill>
              <a:srgbClr val="000000"/>
            </a:solidFill>
            <a:latin typeface="+mn-lt"/>
            <a:ea typeface="+mn-ea"/>
            <a:cs typeface="+mn-cs"/>
          </a:endParaRPr>
        </a:p>
        <a:p>
          <a:endParaRPr lang="en-US" sz="1100" b="0" i="0" baseline="0">
            <a:solidFill>
              <a:srgbClr val="000000"/>
            </a:solidFill>
            <a:latin typeface="+mn-lt"/>
            <a:ea typeface="+mn-ea"/>
            <a:cs typeface="+mn-cs"/>
          </a:endParaRPr>
        </a:p>
        <a:p>
          <a:r>
            <a:rPr lang="en-US" sz="1100" b="1" i="0" baseline="0">
              <a:solidFill>
                <a:srgbClr val="000000"/>
              </a:solidFill>
              <a:latin typeface="+mn-lt"/>
              <a:ea typeface="+mn-ea"/>
              <a:cs typeface="+mn-cs"/>
            </a:rPr>
            <a:t>Method 1.</a:t>
          </a:r>
          <a:r>
            <a:rPr lang="en-US" sz="1100" b="0" i="0" baseline="0">
              <a:solidFill>
                <a:srgbClr val="000000"/>
              </a:solidFill>
              <a:latin typeface="+mn-lt"/>
              <a:ea typeface="+mn-ea"/>
              <a:cs typeface="+mn-cs"/>
            </a:rPr>
            <a:t> </a:t>
          </a:r>
          <a:r>
            <a:rPr lang="en-US" sz="1100" b="1" i="0" baseline="0">
              <a:solidFill>
                <a:srgbClr val="000000"/>
              </a:solidFill>
              <a:latin typeface="+mn-lt"/>
              <a:ea typeface="+mn-ea"/>
              <a:cs typeface="+mn-cs"/>
            </a:rPr>
            <a:t>Try it! </a:t>
          </a:r>
          <a:r>
            <a:rPr lang="en-US" sz="1100" b="0" i="0" baseline="0">
              <a:solidFill>
                <a:srgbClr val="000000"/>
              </a:solidFill>
              <a:latin typeface="+mn-lt"/>
              <a:ea typeface="+mn-ea"/>
              <a:cs typeface="+mn-cs"/>
            </a:rPr>
            <a:t>Type the first name in the top row: Bob in cell L7. Then select Flash Fill from the Fill dropdown on the Home ribbon. Pretty amazing, isn't it? Now you could repeat with the other columns. </a:t>
          </a:r>
          <a:r>
            <a:rPr lang="en-US" sz="1100">
              <a:solidFill>
                <a:schemeClr val="dk1"/>
              </a:solidFill>
              <a:effectLst/>
              <a:latin typeface="+mn-lt"/>
              <a:ea typeface="+mn-ea"/>
              <a:cs typeface="+mn-cs"/>
            </a:rPr>
            <a:t>Note that right after doing a flash fill, you get a mini dropdown that provides several options, such as undoing the flash fill.</a:t>
          </a:r>
          <a:endParaRPr lang="en-US" sz="1100" b="0" i="0" baseline="0">
            <a:solidFill>
              <a:srgbClr val="000000"/>
            </a:solidFill>
            <a:latin typeface="+mn-lt"/>
            <a:ea typeface="+mn-ea"/>
            <a:cs typeface="+mn-cs"/>
          </a:endParaRPr>
        </a:p>
        <a:p>
          <a:endParaRPr lang="en-US" sz="1100" b="0" i="0" baseline="0">
            <a:solidFill>
              <a:srgbClr val="000000"/>
            </a:solidFill>
            <a:latin typeface="+mn-lt"/>
            <a:ea typeface="+mn-ea"/>
            <a:cs typeface="+mn-cs"/>
          </a:endParaRPr>
        </a:p>
        <a:p>
          <a:r>
            <a:rPr lang="en-US" sz="1100" b="1" i="0" baseline="0">
              <a:solidFill>
                <a:srgbClr val="000000"/>
              </a:solidFill>
              <a:latin typeface="+mn-lt"/>
              <a:ea typeface="+mn-ea"/>
              <a:cs typeface="+mn-cs"/>
            </a:rPr>
            <a:t>Method 2. Try it! </a:t>
          </a:r>
          <a:r>
            <a:rPr lang="en-US" sz="1100" b="0" i="0" baseline="0">
              <a:solidFill>
                <a:srgbClr val="000000"/>
              </a:solidFill>
              <a:latin typeface="+mn-lt"/>
              <a:ea typeface="+mn-ea"/>
              <a:cs typeface="+mn-cs"/>
            </a:rPr>
            <a:t>Type the middle initial and period in the top row: E. in cell M7. Then start typing the next initial in the second row: T. in cell M8. Pretty soon, Excel will guess the pattern and show it for all rows in light font, at which time you can press Enter to accept the results. Again, you could now repeat with the other columns.</a:t>
          </a:r>
        </a:p>
        <a:p>
          <a:endParaRPr lang="en-US" sz="1100" b="0" i="0" baseline="0">
            <a:solidFill>
              <a:srgbClr val="000000"/>
            </a:solidFill>
            <a:latin typeface="+mn-lt"/>
            <a:ea typeface="+mn-ea"/>
            <a:cs typeface="+mn-cs"/>
          </a:endParaRPr>
        </a:p>
        <a:p>
          <a:r>
            <a:rPr lang="en-US" sz="1100" b="1" i="0" baseline="0">
              <a:solidFill>
                <a:srgbClr val="000000"/>
              </a:solidFill>
              <a:latin typeface="+mn-lt"/>
              <a:ea typeface="+mn-ea"/>
              <a:cs typeface="+mn-cs"/>
            </a:rPr>
            <a:t>Method 3. Try it!</a:t>
          </a:r>
          <a:r>
            <a:rPr lang="en-US" sz="1100" b="0" i="0" baseline="0">
              <a:solidFill>
                <a:srgbClr val="000000"/>
              </a:solidFill>
              <a:latin typeface="+mn-lt"/>
              <a:ea typeface="+mn-ea"/>
              <a:cs typeface="+mn-cs"/>
            </a:rPr>
            <a:t> </a:t>
          </a:r>
          <a:r>
            <a:rPr lang="en-US" sz="1100" b="0" i="0" baseline="0">
              <a:solidFill>
                <a:schemeClr val="dk1"/>
              </a:solidFill>
              <a:effectLst/>
              <a:latin typeface="+mn-lt"/>
              <a:ea typeface="+mn-ea"/>
              <a:cs typeface="+mn-cs"/>
            </a:rPr>
            <a:t>Type the last name in the top row: Jones in cell N7. Then with any gray cell in column N selected, use the Flash Fill shortcut key combination, </a:t>
          </a:r>
          <a:r>
            <a:rPr lang="en-US" sz="1100" b="1" i="0" baseline="0">
              <a:solidFill>
                <a:schemeClr val="dk1"/>
              </a:solidFill>
              <a:effectLst/>
              <a:latin typeface="+mn-lt"/>
              <a:ea typeface="+mn-ea"/>
              <a:cs typeface="+mn-cs"/>
            </a:rPr>
            <a:t>Ctrl+e</a:t>
          </a:r>
          <a:r>
            <a:rPr lang="en-US" sz="1100" b="0" i="0" baseline="0">
              <a:solidFill>
                <a:schemeClr val="dk1"/>
              </a:solidFill>
              <a:effectLst/>
              <a:latin typeface="+mn-lt"/>
              <a:ea typeface="+mn-ea"/>
              <a:cs typeface="+mn-cs"/>
            </a:rPr>
            <a:t>. Now repeat this method for the other columns.</a:t>
          </a:r>
        </a:p>
        <a:p>
          <a:endParaRPr lang="en-US" sz="1100" b="0" i="0" baseline="0">
            <a:solidFill>
              <a:schemeClr val="dk1"/>
            </a:solidFill>
            <a:effectLst/>
            <a:latin typeface="+mn-lt"/>
            <a:ea typeface="+mn-ea"/>
            <a:cs typeface="+mn-cs"/>
          </a:endParaRPr>
        </a:p>
        <a:p>
          <a:r>
            <a:rPr lang="en-US" sz="1100" b="0" i="0" baseline="0">
              <a:solidFill>
                <a:schemeClr val="dk1"/>
              </a:solidFill>
              <a:effectLst/>
              <a:latin typeface="+mn-lt"/>
              <a:ea typeface="+mn-ea"/>
              <a:cs typeface="+mn-cs"/>
            </a:rPr>
            <a:t>By the way, as you do any of these, you might see text appear in row 6, not just in the gray range. This is because Flash Fill is also parsing the </a:t>
          </a:r>
          <a:r>
            <a:rPr lang="en-US" sz="1100" b="1" i="0" baseline="0">
              <a:solidFill>
                <a:schemeClr val="dk1"/>
              </a:solidFill>
              <a:effectLst/>
              <a:latin typeface="+mn-lt"/>
              <a:ea typeface="+mn-ea"/>
              <a:cs typeface="+mn-cs"/>
            </a:rPr>
            <a:t>Names to parse </a:t>
          </a:r>
          <a:r>
            <a:rPr lang="en-US" sz="1100" b="0" i="0" baseline="0">
              <a:solidFill>
                <a:schemeClr val="dk1"/>
              </a:solidFill>
              <a:effectLst/>
              <a:latin typeface="+mn-lt"/>
              <a:ea typeface="+mn-ea"/>
              <a:cs typeface="+mn-cs"/>
            </a:rPr>
            <a:t>label in cell K6!</a:t>
          </a:r>
          <a:endParaRPr lang="en-US" sz="1100" b="0" i="0" baseline="0">
            <a:solidFill>
              <a:srgbClr val="000000"/>
            </a:solidFill>
            <a:latin typeface="+mn-lt"/>
            <a:ea typeface="+mn-ea"/>
            <a:cs typeface="+mn-cs"/>
          </a:endParaRPr>
        </a:p>
        <a:p>
          <a:endParaRPr lang="en-US" sz="1100" b="0" i="0" baseline="0">
            <a:solidFill>
              <a:srgbClr val="000000"/>
            </a:solidFill>
            <a:latin typeface="+mn-lt"/>
            <a:ea typeface="+mn-ea"/>
            <a:cs typeface="+mn-cs"/>
          </a:endParaRPr>
        </a:p>
        <a:p>
          <a:r>
            <a:rPr lang="en-US" sz="1100" b="0" i="0" baseline="0">
              <a:solidFill>
                <a:srgbClr val="000000"/>
              </a:solidFill>
              <a:latin typeface="+mn-lt"/>
              <a:ea typeface="+mn-ea"/>
              <a:cs typeface="+mn-cs"/>
            </a:rPr>
            <a:t>Note how Flash Fill can recognize many patterns, such as the initials in column Q and even the lower case name in column R. However, if names don't fit the pattern, Flash Fill will likely fail. For example, if the bottom two names were replaced with Lincoln, Abe and Fitzgerald, F. Scott, Flash Fill wouldn't get everything correct. (You might want to verify this.) As this indicates, Flash Fill can't completely take the place of text functions for all parsing tasks.</a:t>
          </a:r>
        </a:p>
        <a:p>
          <a:endParaRPr lang="en-US" sz="1100" b="0" i="0" baseline="0">
            <a:solidFill>
              <a:srgbClr val="000000"/>
            </a:solidFill>
            <a:latin typeface="+mn-lt"/>
            <a:ea typeface="+mn-ea"/>
            <a:cs typeface="+mn-cs"/>
          </a:endParaRPr>
        </a:p>
        <a:p>
          <a:r>
            <a:rPr lang="en-US" sz="1100" b="0" i="0" baseline="0">
              <a:solidFill>
                <a:srgbClr val="000000"/>
              </a:solidFill>
              <a:latin typeface="+mn-lt"/>
              <a:ea typeface="+mn-ea"/>
              <a:cs typeface="+mn-cs"/>
            </a:rPr>
            <a:t>Flash Fill also works on certain patterns of numbers and dates, as you can check on the examples to the right. However, except for the year column on the dates, only methods 1 and 3 seem to work; method 2 doesn't work. It isn't clear why method 2 works in some situations but not in others, </a:t>
          </a:r>
          <a:r>
            <a:rPr lang="en-US" sz="1100">
              <a:solidFill>
                <a:schemeClr val="dk1"/>
              </a:solidFill>
              <a:effectLst/>
              <a:latin typeface="+mn-lt"/>
              <a:ea typeface="+mn-ea"/>
              <a:cs typeface="+mn-cs"/>
            </a:rPr>
            <a:t>and you’ll probably have to experiment to see which method works best for you. In any case, the Flash Fill tool can often save you from entering a lot of complex text formulas.</a:t>
          </a:r>
          <a:endParaRPr lang="en-US" sz="1100" b="0" baseline="0">
            <a:solidFill>
              <a:srgbClr val="000000"/>
            </a:solidFill>
            <a:latin typeface="+mn-lt"/>
            <a:ea typeface="+mn-ea"/>
            <a:cs typeface="+mn-cs"/>
          </a:endParaRP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Mastering%20Excel%202010%20YAT\Functions%20&amp;%20Formulas\Lookup%20Functions.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D:\Nouran%20ELZeky%20Courses\Microsoft%20Office\Excel\15-12%20Nouran%20-Excel%20Prectice%20files\Formulas%20&amp;%20Functions.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Nouran%20ELZeky%20Courses\Microsoft%20Office\Excel\15-12%20Nouran%20-Excel%20Prectice%20files\Excel2010IsFun!FINISHED.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okup Functions"/>
      <sheetName val="Sheet9"/>
      <sheetName val="Vlookup 1"/>
      <sheetName val="Fee Lookup"/>
      <sheetName val="Exercises 1"/>
      <sheetName val="Exercises 2"/>
      <sheetName val="Exercises 3"/>
      <sheetName val=" Exercise"/>
      <sheetName val="Exercise Solution"/>
    </sheetNames>
    <sheetDataSet>
      <sheetData sheetId="0"/>
      <sheetData sheetId="1"/>
      <sheetData sheetId="2"/>
      <sheetData sheetId="3">
        <row r="2">
          <cell r="A2" t="str">
            <v>Anthropology</v>
          </cell>
          <cell r="B2">
            <v>23</v>
          </cell>
        </row>
        <row r="3">
          <cell r="A3" t="str">
            <v>Apparel Merch/Int De</v>
          </cell>
          <cell r="B3">
            <v>25</v>
          </cell>
        </row>
        <row r="4">
          <cell r="A4" t="str">
            <v>Biology</v>
          </cell>
          <cell r="B4">
            <v>27</v>
          </cell>
        </row>
        <row r="5">
          <cell r="A5" t="str">
            <v>Business</v>
          </cell>
          <cell r="B5">
            <v>86</v>
          </cell>
        </row>
        <row r="6">
          <cell r="A6" t="str">
            <v>Communication &amp; Cult</v>
          </cell>
          <cell r="B6">
            <v>21</v>
          </cell>
        </row>
        <row r="7">
          <cell r="A7" t="str">
            <v>Criminal Justice-Coa</v>
          </cell>
          <cell r="B7">
            <v>60</v>
          </cell>
        </row>
        <row r="8">
          <cell r="A8" t="str">
            <v>Dentistry</v>
          </cell>
          <cell r="B8">
            <v>72</v>
          </cell>
        </row>
        <row r="9">
          <cell r="A9" t="str">
            <v>East Asian Lang &amp; Cu</v>
          </cell>
          <cell r="B9">
            <v>58</v>
          </cell>
        </row>
        <row r="10">
          <cell r="A10" t="str">
            <v>Education</v>
          </cell>
          <cell r="B10">
            <v>74</v>
          </cell>
        </row>
        <row r="11">
          <cell r="A11" t="str">
            <v>English</v>
          </cell>
          <cell r="B11">
            <v>26</v>
          </cell>
        </row>
        <row r="12">
          <cell r="A12" t="str">
            <v>Fine Arts</v>
          </cell>
          <cell r="B12">
            <v>49</v>
          </cell>
        </row>
        <row r="13">
          <cell r="A13" t="str">
            <v>Geology</v>
          </cell>
          <cell r="B13">
            <v>36</v>
          </cell>
        </row>
        <row r="14">
          <cell r="A14" t="str">
            <v>Health, Phys Ed, &amp; R</v>
          </cell>
          <cell r="B14">
            <v>58</v>
          </cell>
        </row>
        <row r="15">
          <cell r="A15" t="str">
            <v>Informatics</v>
          </cell>
          <cell r="B15">
            <v>85</v>
          </cell>
        </row>
        <row r="16">
          <cell r="A16" t="str">
            <v>Journalism</v>
          </cell>
          <cell r="B16">
            <v>81</v>
          </cell>
        </row>
        <row r="17">
          <cell r="A17" t="str">
            <v>Law</v>
          </cell>
          <cell r="B17">
            <v>68</v>
          </cell>
        </row>
        <row r="18">
          <cell r="A18" t="str">
            <v>Mathematics</v>
          </cell>
          <cell r="B18">
            <v>42</v>
          </cell>
        </row>
        <row r="19">
          <cell r="A19" t="str">
            <v>Music</v>
          </cell>
          <cell r="B19">
            <v>46</v>
          </cell>
        </row>
        <row r="20">
          <cell r="A20" t="str">
            <v xml:space="preserve">Near Eastern Lang &amp; </v>
          </cell>
          <cell r="B20">
            <v>37</v>
          </cell>
        </row>
        <row r="21">
          <cell r="A21" t="str">
            <v>Optometry</v>
          </cell>
          <cell r="B21">
            <v>75</v>
          </cell>
        </row>
        <row r="22">
          <cell r="A22" t="str">
            <v>Political Science</v>
          </cell>
          <cell r="B22">
            <v>20</v>
          </cell>
        </row>
        <row r="23">
          <cell r="A23" t="str">
            <v>Psychology</v>
          </cell>
          <cell r="B23">
            <v>24</v>
          </cell>
        </row>
        <row r="24">
          <cell r="A24" t="str">
            <v>Public And Envir Aff</v>
          </cell>
          <cell r="B24">
            <v>35</v>
          </cell>
        </row>
        <row r="25">
          <cell r="A25" t="str">
            <v>School Of Continuing</v>
          </cell>
          <cell r="B25">
            <v>59</v>
          </cell>
        </row>
        <row r="26">
          <cell r="A26" t="str">
            <v>Telecommunications</v>
          </cell>
          <cell r="B26">
            <v>41</v>
          </cell>
        </row>
        <row r="27">
          <cell r="A27" t="str">
            <v>Theatre &amp; Drama</v>
          </cell>
          <cell r="B27">
            <v>64</v>
          </cell>
        </row>
        <row r="28">
          <cell r="A28" t="str">
            <v>University Division</v>
          </cell>
          <cell r="B28">
            <v>34</v>
          </cell>
        </row>
      </sheetData>
      <sheetData sheetId="4"/>
      <sheetData sheetId="5"/>
      <sheetData sheetId="6"/>
      <sheetData sheetId="7"/>
      <sheetData sheetId="8"/>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unctions Reference"/>
      <sheetName val="Functions 1"/>
      <sheetName val="Sum Function"/>
      <sheetName val="Functions Ex"/>
      <sheetName val="Functions Ex 2"/>
      <sheetName val="Round"/>
      <sheetName val="Giza"/>
      <sheetName val="Dates"/>
      <sheetName val="Maadi"/>
      <sheetName val="Haram"/>
      <sheetName val="Dokki"/>
      <sheetName val="Total Expenses"/>
      <sheetName val="IF Function"/>
      <sheetName val="Test Scores"/>
      <sheetName val="Final Grades"/>
      <sheetName val="Student Data"/>
      <sheetName val="Logical"/>
      <sheetName val="Text"/>
      <sheetName val="Test Scores (2)"/>
      <sheetName val="Employee Info"/>
      <sheetName val="Dept Info"/>
      <sheetName val="Conditional"/>
      <sheetName val="Define Names"/>
      <sheetName val="Grand Totals"/>
      <sheetName val="PMT Function"/>
      <sheetName val="Formulas"/>
      <sheetName val="Math (1)"/>
      <sheetName val="Math (2)"/>
      <sheetName val="Copying Formulas"/>
      <sheetName val="Cell References"/>
      <sheetName val="Cell References Ex"/>
    </sheetNames>
    <sheetDataSet>
      <sheetData sheetId="0"/>
      <sheetData sheetId="1"/>
      <sheetData sheetId="2"/>
      <sheetData sheetId="3">
        <row r="2">
          <cell r="A2">
            <v>37827</v>
          </cell>
          <cell r="B2">
            <v>26722</v>
          </cell>
          <cell r="C2">
            <v>52269</v>
          </cell>
          <cell r="D2">
            <v>41140</v>
          </cell>
          <cell r="E2">
            <v>47195</v>
          </cell>
          <cell r="F2">
            <v>47609</v>
          </cell>
          <cell r="G2">
            <v>45963</v>
          </cell>
          <cell r="H2">
            <v>16527</v>
          </cell>
          <cell r="I2">
            <v>18848</v>
          </cell>
          <cell r="J2">
            <v>42737</v>
          </cell>
        </row>
        <row r="3">
          <cell r="A3">
            <v>44040</v>
          </cell>
          <cell r="B3">
            <v>13980</v>
          </cell>
          <cell r="C3">
            <v>40909</v>
          </cell>
          <cell r="D3">
            <v>54632</v>
          </cell>
          <cell r="E3">
            <v>48236</v>
          </cell>
          <cell r="F3">
            <v>43511</v>
          </cell>
          <cell r="G3">
            <v>13981</v>
          </cell>
          <cell r="H3">
            <v>25887</v>
          </cell>
          <cell r="I3">
            <v>45310</v>
          </cell>
          <cell r="J3">
            <v>24211</v>
          </cell>
        </row>
        <row r="4">
          <cell r="A4">
            <v>20527</v>
          </cell>
          <cell r="B4">
            <v>40663</v>
          </cell>
          <cell r="C4">
            <v>46398</v>
          </cell>
          <cell r="D4">
            <v>31802</v>
          </cell>
          <cell r="E4">
            <v>41115</v>
          </cell>
          <cell r="F4">
            <v>42221</v>
          </cell>
          <cell r="G4">
            <v>52936</v>
          </cell>
          <cell r="H4">
            <v>19412</v>
          </cell>
          <cell r="I4">
            <v>52833</v>
          </cell>
          <cell r="J4">
            <v>53879</v>
          </cell>
        </row>
        <row r="5">
          <cell r="A5">
            <v>20527</v>
          </cell>
          <cell r="B5">
            <v>53360</v>
          </cell>
          <cell r="C5">
            <v>18407</v>
          </cell>
          <cell r="D5">
            <v>33099</v>
          </cell>
          <cell r="E5">
            <v>13063</v>
          </cell>
          <cell r="F5">
            <v>34761</v>
          </cell>
          <cell r="G5">
            <v>41983</v>
          </cell>
          <cell r="H5">
            <v>51034</v>
          </cell>
          <cell r="I5">
            <v>24456</v>
          </cell>
          <cell r="J5">
            <v>26970</v>
          </cell>
        </row>
        <row r="6">
          <cell r="A6">
            <v>20527</v>
          </cell>
          <cell r="B6">
            <v>21315</v>
          </cell>
          <cell r="C6">
            <v>15103</v>
          </cell>
          <cell r="D6">
            <v>13330</v>
          </cell>
          <cell r="E6">
            <v>37964</v>
          </cell>
          <cell r="F6">
            <v>54849</v>
          </cell>
          <cell r="G6">
            <v>38530</v>
          </cell>
          <cell r="H6">
            <v>38939</v>
          </cell>
          <cell r="I6">
            <v>16250</v>
          </cell>
          <cell r="J6">
            <v>44911</v>
          </cell>
        </row>
        <row r="7">
          <cell r="A7">
            <v>20527</v>
          </cell>
          <cell r="B7">
            <v>20666</v>
          </cell>
          <cell r="C7">
            <v>36019</v>
          </cell>
          <cell r="D7">
            <v>33587</v>
          </cell>
          <cell r="E7">
            <v>46349</v>
          </cell>
          <cell r="F7">
            <v>24604</v>
          </cell>
          <cell r="G7">
            <v>36651</v>
          </cell>
          <cell r="H7">
            <v>24834</v>
          </cell>
          <cell r="I7">
            <v>30191</v>
          </cell>
          <cell r="J7">
            <v>35117</v>
          </cell>
        </row>
        <row r="8">
          <cell r="A8">
            <v>20527</v>
          </cell>
          <cell r="B8">
            <v>17822</v>
          </cell>
          <cell r="C8">
            <v>40273</v>
          </cell>
          <cell r="D8">
            <v>31795</v>
          </cell>
          <cell r="E8">
            <v>22175</v>
          </cell>
          <cell r="F8">
            <v>28698</v>
          </cell>
          <cell r="G8">
            <v>51116</v>
          </cell>
          <cell r="H8">
            <v>49923</v>
          </cell>
          <cell r="I8">
            <v>47916</v>
          </cell>
          <cell r="J8">
            <v>18273</v>
          </cell>
        </row>
        <row r="9">
          <cell r="A9">
            <v>20527</v>
          </cell>
          <cell r="B9">
            <v>21700</v>
          </cell>
          <cell r="C9">
            <v>28515</v>
          </cell>
          <cell r="D9">
            <v>22040</v>
          </cell>
          <cell r="E9">
            <v>25103</v>
          </cell>
          <cell r="F9">
            <v>42833</v>
          </cell>
          <cell r="G9">
            <v>40231</v>
          </cell>
          <cell r="H9">
            <v>37742</v>
          </cell>
          <cell r="I9">
            <v>44545</v>
          </cell>
          <cell r="J9">
            <v>27536</v>
          </cell>
        </row>
      </sheetData>
      <sheetData sheetId="4">
        <row r="20">
          <cell r="A20" t="str">
            <v>Ahmed</v>
          </cell>
          <cell r="B20">
            <v>306</v>
          </cell>
        </row>
        <row r="21">
          <cell r="A21" t="str">
            <v>Ahmed</v>
          </cell>
          <cell r="B21">
            <v>346</v>
          </cell>
        </row>
        <row r="22">
          <cell r="A22" t="str">
            <v>Ahmed</v>
          </cell>
          <cell r="B22">
            <v>86</v>
          </cell>
        </row>
        <row r="23">
          <cell r="A23" t="str">
            <v>Ahmed</v>
          </cell>
          <cell r="B23">
            <v>340</v>
          </cell>
        </row>
        <row r="24">
          <cell r="A24" t="str">
            <v>Karim</v>
          </cell>
          <cell r="B24">
            <v>174</v>
          </cell>
        </row>
        <row r="25">
          <cell r="A25" t="str">
            <v>Karim</v>
          </cell>
          <cell r="B25">
            <v>56</v>
          </cell>
        </row>
        <row r="26">
          <cell r="A26" t="str">
            <v>Ramy</v>
          </cell>
          <cell r="B26">
            <v>288</v>
          </cell>
        </row>
        <row r="27">
          <cell r="A27" t="str">
            <v>Ramy</v>
          </cell>
          <cell r="B27">
            <v>162</v>
          </cell>
        </row>
        <row r="28">
          <cell r="A28" t="str">
            <v>Ramy</v>
          </cell>
          <cell r="B28">
            <v>80</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hat is Excel"/>
      <sheetName val="Rows and Columns"/>
      <sheetName val="Ampersand"/>
      <sheetName val="Formulas"/>
      <sheetName val="HW(1)"/>
      <sheetName val="HW(1an)"/>
      <sheetName val="Math (1)"/>
      <sheetName val="Math(2)"/>
      <sheetName val="Math(2an)"/>
      <sheetName val="Functions"/>
      <sheetName val="Functions (2)"/>
      <sheetName val="HW(3)"/>
      <sheetName val="HW(3an)"/>
      <sheetName val="Cell References"/>
      <sheetName val="IncomeStatement"/>
      <sheetName val="Multiplication Table"/>
      <sheetName val="Copy and Move"/>
      <sheetName val="Assumptions"/>
      <sheetName val="FormulaInputs"/>
      <sheetName val="HW(4)"/>
      <sheetName val="HW(4an)"/>
      <sheetName val="Formatting (1)"/>
      <sheetName val="Formatting (2)"/>
      <sheetName val="HW(5)"/>
      <sheetName val="HW(5an)"/>
      <sheetName val="Formatting (3)"/>
      <sheetName val="Round for Deduction"/>
      <sheetName val="Date Math"/>
      <sheetName val="Time Formatting (1)"/>
      <sheetName val="Time Formatting (2)"/>
      <sheetName val="Time Formatting (3)"/>
      <sheetName val="Percentage"/>
      <sheetName val="HW(6)"/>
      <sheetName val="HW(6an)"/>
      <sheetName val="Charts (1)"/>
      <sheetName val="Charts (2)"/>
      <sheetName val="Charts (3)"/>
      <sheetName val="Charts (4)"/>
      <sheetName val="Charts (5)"/>
      <sheetName val="Chart1"/>
      <sheetName val="Charts (6)"/>
      <sheetName val="Charts (7)"/>
      <sheetName val="HW(7)"/>
      <sheetName val="HW(7an)"/>
      <sheetName val="Page Setup"/>
      <sheetName val="Analyze Data"/>
      <sheetName val="Sort"/>
      <sheetName val="Filter(2)"/>
      <sheetName val="LukeSales"/>
      <sheetName val="JonNE"/>
      <sheetName val="PT(1)"/>
      <sheetName val="PT(2)"/>
      <sheetName val="PT(3)"/>
      <sheetName val="PT(4)"/>
      <sheetName val="PT(5)"/>
      <sheetName val="PT"/>
      <sheetName val="FilterSearch"/>
      <sheetName val="PT(6)"/>
      <sheetName val="TableF"/>
      <sheetName val="HW(9)"/>
      <sheetName val="HW(9an)"/>
      <sheetName val="HW(10)"/>
      <sheetName val="HW(10an)"/>
      <sheetName val="HW(11)"/>
      <sheetName val="HW(11an)"/>
      <sheetName val="IF Function"/>
      <sheetName val="Filter"/>
      <sheetName val="IF(1)"/>
      <sheetName val="IF(2)"/>
      <sheetName val="V(1)"/>
      <sheetName val="V(2)"/>
      <sheetName val="K"/>
      <sheetName val="HW(8)"/>
      <sheetName val="HW(8an)"/>
    </sheetNames>
    <sheetDataSet>
      <sheetData sheetId="0"/>
      <sheetData sheetId="1"/>
      <sheetData sheetId="2"/>
      <sheetData sheetId="3"/>
      <sheetData sheetId="4"/>
      <sheetData sheetId="5"/>
      <sheetData sheetId="6"/>
      <sheetData sheetId="7"/>
      <sheetData sheetId="8"/>
      <sheetData sheetId="9"/>
      <sheetData sheetId="10">
        <row r="2">
          <cell r="A2">
            <v>37827</v>
          </cell>
          <cell r="B2">
            <v>26722</v>
          </cell>
          <cell r="C2">
            <v>52269</v>
          </cell>
          <cell r="D2">
            <v>41140</v>
          </cell>
          <cell r="E2">
            <v>47195</v>
          </cell>
          <cell r="F2">
            <v>47609</v>
          </cell>
          <cell r="G2">
            <v>45963</v>
          </cell>
          <cell r="H2">
            <v>16527</v>
          </cell>
          <cell r="I2">
            <v>18848</v>
          </cell>
          <cell r="J2">
            <v>42737</v>
          </cell>
        </row>
        <row r="3">
          <cell r="A3">
            <v>44040</v>
          </cell>
          <cell r="B3">
            <v>13980</v>
          </cell>
          <cell r="C3">
            <v>40909</v>
          </cell>
          <cell r="D3">
            <v>54632</v>
          </cell>
          <cell r="E3">
            <v>48236</v>
          </cell>
          <cell r="F3">
            <v>43511</v>
          </cell>
          <cell r="G3">
            <v>13981</v>
          </cell>
          <cell r="H3">
            <v>25887</v>
          </cell>
          <cell r="I3">
            <v>45310</v>
          </cell>
          <cell r="J3">
            <v>24211</v>
          </cell>
        </row>
        <row r="4">
          <cell r="A4">
            <v>20527</v>
          </cell>
          <cell r="B4">
            <v>40663</v>
          </cell>
          <cell r="C4">
            <v>46398</v>
          </cell>
          <cell r="D4">
            <v>31802</v>
          </cell>
          <cell r="E4">
            <v>41115</v>
          </cell>
          <cell r="F4">
            <v>42221</v>
          </cell>
          <cell r="G4">
            <v>52936</v>
          </cell>
          <cell r="H4">
            <v>19412</v>
          </cell>
          <cell r="I4">
            <v>52833</v>
          </cell>
          <cell r="J4">
            <v>53879</v>
          </cell>
        </row>
        <row r="5">
          <cell r="A5">
            <v>51500</v>
          </cell>
          <cell r="B5">
            <v>53360</v>
          </cell>
          <cell r="C5">
            <v>18407</v>
          </cell>
          <cell r="D5">
            <v>33099</v>
          </cell>
          <cell r="E5">
            <v>13063</v>
          </cell>
          <cell r="F5">
            <v>34761</v>
          </cell>
          <cell r="G5">
            <v>41983</v>
          </cell>
          <cell r="H5">
            <v>51034</v>
          </cell>
          <cell r="I5">
            <v>24456</v>
          </cell>
          <cell r="J5">
            <v>26970</v>
          </cell>
        </row>
        <row r="6">
          <cell r="A6">
            <v>45256</v>
          </cell>
          <cell r="B6">
            <v>21315</v>
          </cell>
          <cell r="C6">
            <v>15103</v>
          </cell>
          <cell r="D6">
            <v>13330</v>
          </cell>
          <cell r="E6">
            <v>37964</v>
          </cell>
          <cell r="F6">
            <v>54849</v>
          </cell>
          <cell r="G6">
            <v>38530</v>
          </cell>
          <cell r="H6">
            <v>38939</v>
          </cell>
          <cell r="I6">
            <v>16250</v>
          </cell>
          <cell r="J6">
            <v>44911</v>
          </cell>
        </row>
        <row r="7">
          <cell r="A7">
            <v>34788</v>
          </cell>
          <cell r="B7">
            <v>20666</v>
          </cell>
          <cell r="C7">
            <v>36019</v>
          </cell>
          <cell r="D7">
            <v>33587</v>
          </cell>
          <cell r="E7">
            <v>46349</v>
          </cell>
          <cell r="F7">
            <v>24604</v>
          </cell>
          <cell r="G7">
            <v>36651</v>
          </cell>
          <cell r="H7">
            <v>24834</v>
          </cell>
          <cell r="I7">
            <v>30191</v>
          </cell>
          <cell r="J7">
            <v>35117</v>
          </cell>
        </row>
        <row r="8">
          <cell r="A8">
            <v>34034</v>
          </cell>
          <cell r="B8">
            <v>17822</v>
          </cell>
          <cell r="C8">
            <v>40273</v>
          </cell>
          <cell r="D8">
            <v>31795</v>
          </cell>
          <cell r="E8">
            <v>22175</v>
          </cell>
          <cell r="F8">
            <v>28698</v>
          </cell>
          <cell r="G8">
            <v>51116</v>
          </cell>
          <cell r="H8">
            <v>49923</v>
          </cell>
          <cell r="I8">
            <v>47916</v>
          </cell>
          <cell r="J8">
            <v>18273</v>
          </cell>
        </row>
        <row r="9">
          <cell r="A9">
            <v>37065</v>
          </cell>
          <cell r="B9">
            <v>21700</v>
          </cell>
          <cell r="C9">
            <v>28515</v>
          </cell>
          <cell r="D9">
            <v>22040</v>
          </cell>
          <cell r="E9">
            <v>25103</v>
          </cell>
          <cell r="F9">
            <v>42833</v>
          </cell>
          <cell r="G9">
            <v>40231</v>
          </cell>
          <cell r="H9">
            <v>37742</v>
          </cell>
          <cell r="I9">
            <v>44545</v>
          </cell>
          <cell r="J9">
            <v>27536</v>
          </cell>
        </row>
        <row r="20">
          <cell r="A20" t="str">
            <v>Tom</v>
          </cell>
          <cell r="B20">
            <v>288</v>
          </cell>
        </row>
        <row r="21">
          <cell r="A21" t="str">
            <v>Pham</v>
          </cell>
          <cell r="B21">
            <v>306</v>
          </cell>
        </row>
        <row r="22">
          <cell r="A22" t="str">
            <v>Tom</v>
          </cell>
          <cell r="B22">
            <v>162</v>
          </cell>
        </row>
        <row r="23">
          <cell r="A23" t="str">
            <v>Pham</v>
          </cell>
          <cell r="B23">
            <v>346</v>
          </cell>
        </row>
        <row r="24">
          <cell r="A24" t="str">
            <v>Sioux</v>
          </cell>
          <cell r="B24">
            <v>174</v>
          </cell>
        </row>
        <row r="25">
          <cell r="A25" t="str">
            <v>Sioux</v>
          </cell>
          <cell r="B25">
            <v>56</v>
          </cell>
        </row>
        <row r="26">
          <cell r="A26" t="str">
            <v>Tom</v>
          </cell>
          <cell r="B26">
            <v>80</v>
          </cell>
        </row>
        <row r="27">
          <cell r="A27" t="str">
            <v>Pham</v>
          </cell>
          <cell r="B27">
            <v>86</v>
          </cell>
        </row>
        <row r="28">
          <cell r="A28" t="str">
            <v>Pham</v>
          </cell>
          <cell r="B28">
            <v>340</v>
          </cell>
        </row>
      </sheetData>
      <sheetData sheetId="11"/>
      <sheetData sheetId="12">
        <row r="2">
          <cell r="A2" t="str">
            <v>Joe</v>
          </cell>
          <cell r="B2">
            <v>338</v>
          </cell>
        </row>
        <row r="3">
          <cell r="A3" t="str">
            <v>Sue</v>
          </cell>
          <cell r="B3">
            <v>356</v>
          </cell>
        </row>
        <row r="4">
          <cell r="A4" t="str">
            <v>Chin</v>
          </cell>
          <cell r="B4">
            <v>212</v>
          </cell>
        </row>
        <row r="5">
          <cell r="A5" t="str">
            <v>Chin</v>
          </cell>
          <cell r="B5">
            <v>396</v>
          </cell>
        </row>
        <row r="6">
          <cell r="A6" t="str">
            <v>Sue</v>
          </cell>
          <cell r="B6">
            <v>224</v>
          </cell>
        </row>
        <row r="7">
          <cell r="A7" t="str">
            <v>Mo</v>
          </cell>
          <cell r="B7">
            <v>106</v>
          </cell>
        </row>
        <row r="8">
          <cell r="A8" t="str">
            <v>Mo</v>
          </cell>
          <cell r="B8">
            <v>130</v>
          </cell>
        </row>
        <row r="9">
          <cell r="A9" t="str">
            <v>Mo</v>
          </cell>
          <cell r="B9">
            <v>136</v>
          </cell>
        </row>
        <row r="10">
          <cell r="A10" t="str">
            <v>Chin</v>
          </cell>
          <cell r="B10">
            <v>390</v>
          </cell>
        </row>
      </sheetData>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refreshError="1"/>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E71"/>
  <sheetViews>
    <sheetView showGridLines="0" topLeftCell="A4" workbookViewId="0">
      <selection activeCell="C15" sqref="C15"/>
    </sheetView>
  </sheetViews>
  <sheetFormatPr defaultRowHeight="18.5" x14ac:dyDescent="0.35"/>
  <cols>
    <col min="1" max="1" width="3.81640625" style="2" customWidth="1"/>
    <col min="2" max="2" width="35.54296875" style="1" customWidth="1"/>
    <col min="3" max="3" width="64" style="1" customWidth="1"/>
    <col min="4" max="4" width="15" style="2" customWidth="1"/>
    <col min="5" max="5" width="48" style="24" customWidth="1"/>
    <col min="6" max="6" width="30.453125" style="2" bestFit="1" customWidth="1"/>
    <col min="7" max="256" width="9.1796875" style="2"/>
    <col min="257" max="257" width="3.81640625" style="2" customWidth="1"/>
    <col min="258" max="258" width="22.1796875" style="2" customWidth="1"/>
    <col min="259" max="259" width="31" style="2" customWidth="1"/>
    <col min="260" max="262" width="30.453125" style="2" bestFit="1" customWidth="1"/>
    <col min="263" max="512" width="9.1796875" style="2"/>
    <col min="513" max="513" width="3.81640625" style="2" customWidth="1"/>
    <col min="514" max="514" width="22.1796875" style="2" customWidth="1"/>
    <col min="515" max="515" width="31" style="2" customWidth="1"/>
    <col min="516" max="518" width="30.453125" style="2" bestFit="1" customWidth="1"/>
    <col min="519" max="768" width="9.1796875" style="2"/>
    <col min="769" max="769" width="3.81640625" style="2" customWidth="1"/>
    <col min="770" max="770" width="22.1796875" style="2" customWidth="1"/>
    <col min="771" max="771" width="31" style="2" customWidth="1"/>
    <col min="772" max="774" width="30.453125" style="2" bestFit="1" customWidth="1"/>
    <col min="775" max="1024" width="9.1796875" style="2"/>
    <col min="1025" max="1025" width="3.81640625" style="2" customWidth="1"/>
    <col min="1026" max="1026" width="22.1796875" style="2" customWidth="1"/>
    <col min="1027" max="1027" width="31" style="2" customWidth="1"/>
    <col min="1028" max="1030" width="30.453125" style="2" bestFit="1" customWidth="1"/>
    <col min="1031" max="1280" width="9.1796875" style="2"/>
    <col min="1281" max="1281" width="3.81640625" style="2" customWidth="1"/>
    <col min="1282" max="1282" width="22.1796875" style="2" customWidth="1"/>
    <col min="1283" max="1283" width="31" style="2" customWidth="1"/>
    <col min="1284" max="1286" width="30.453125" style="2" bestFit="1" customWidth="1"/>
    <col min="1287" max="1536" width="9.1796875" style="2"/>
    <col min="1537" max="1537" width="3.81640625" style="2" customWidth="1"/>
    <col min="1538" max="1538" width="22.1796875" style="2" customWidth="1"/>
    <col min="1539" max="1539" width="31" style="2" customWidth="1"/>
    <col min="1540" max="1542" width="30.453125" style="2" bestFit="1" customWidth="1"/>
    <col min="1543" max="1792" width="9.1796875" style="2"/>
    <col min="1793" max="1793" width="3.81640625" style="2" customWidth="1"/>
    <col min="1794" max="1794" width="22.1796875" style="2" customWidth="1"/>
    <col min="1795" max="1795" width="31" style="2" customWidth="1"/>
    <col min="1796" max="1798" width="30.453125" style="2" bestFit="1" customWidth="1"/>
    <col min="1799" max="2048" width="9.1796875" style="2"/>
    <col min="2049" max="2049" width="3.81640625" style="2" customWidth="1"/>
    <col min="2050" max="2050" width="22.1796875" style="2" customWidth="1"/>
    <col min="2051" max="2051" width="31" style="2" customWidth="1"/>
    <col min="2052" max="2054" width="30.453125" style="2" bestFit="1" customWidth="1"/>
    <col min="2055" max="2304" width="9.1796875" style="2"/>
    <col min="2305" max="2305" width="3.81640625" style="2" customWidth="1"/>
    <col min="2306" max="2306" width="22.1796875" style="2" customWidth="1"/>
    <col min="2307" max="2307" width="31" style="2" customWidth="1"/>
    <col min="2308" max="2310" width="30.453125" style="2" bestFit="1" customWidth="1"/>
    <col min="2311" max="2560" width="9.1796875" style="2"/>
    <col min="2561" max="2561" width="3.81640625" style="2" customWidth="1"/>
    <col min="2562" max="2562" width="22.1796875" style="2" customWidth="1"/>
    <col min="2563" max="2563" width="31" style="2" customWidth="1"/>
    <col min="2564" max="2566" width="30.453125" style="2" bestFit="1" customWidth="1"/>
    <col min="2567" max="2816" width="9.1796875" style="2"/>
    <col min="2817" max="2817" width="3.81640625" style="2" customWidth="1"/>
    <col min="2818" max="2818" width="22.1796875" style="2" customWidth="1"/>
    <col min="2819" max="2819" width="31" style="2" customWidth="1"/>
    <col min="2820" max="2822" width="30.453125" style="2" bestFit="1" customWidth="1"/>
    <col min="2823" max="3072" width="9.1796875" style="2"/>
    <col min="3073" max="3073" width="3.81640625" style="2" customWidth="1"/>
    <col min="3074" max="3074" width="22.1796875" style="2" customWidth="1"/>
    <col min="3075" max="3075" width="31" style="2" customWidth="1"/>
    <col min="3076" max="3078" width="30.453125" style="2" bestFit="1" customWidth="1"/>
    <col min="3079" max="3328" width="9.1796875" style="2"/>
    <col min="3329" max="3329" width="3.81640625" style="2" customWidth="1"/>
    <col min="3330" max="3330" width="22.1796875" style="2" customWidth="1"/>
    <col min="3331" max="3331" width="31" style="2" customWidth="1"/>
    <col min="3332" max="3334" width="30.453125" style="2" bestFit="1" customWidth="1"/>
    <col min="3335" max="3584" width="9.1796875" style="2"/>
    <col min="3585" max="3585" width="3.81640625" style="2" customWidth="1"/>
    <col min="3586" max="3586" width="22.1796875" style="2" customWidth="1"/>
    <col min="3587" max="3587" width="31" style="2" customWidth="1"/>
    <col min="3588" max="3590" width="30.453125" style="2" bestFit="1" customWidth="1"/>
    <col min="3591" max="3840" width="9.1796875" style="2"/>
    <col min="3841" max="3841" width="3.81640625" style="2" customWidth="1"/>
    <col min="3842" max="3842" width="22.1796875" style="2" customWidth="1"/>
    <col min="3843" max="3843" width="31" style="2" customWidth="1"/>
    <col min="3844" max="3846" width="30.453125" style="2" bestFit="1" customWidth="1"/>
    <col min="3847" max="4096" width="9.1796875" style="2"/>
    <col min="4097" max="4097" width="3.81640625" style="2" customWidth="1"/>
    <col min="4098" max="4098" width="22.1796875" style="2" customWidth="1"/>
    <col min="4099" max="4099" width="31" style="2" customWidth="1"/>
    <col min="4100" max="4102" width="30.453125" style="2" bestFit="1" customWidth="1"/>
    <col min="4103" max="4352" width="9.1796875" style="2"/>
    <col min="4353" max="4353" width="3.81640625" style="2" customWidth="1"/>
    <col min="4354" max="4354" width="22.1796875" style="2" customWidth="1"/>
    <col min="4355" max="4355" width="31" style="2" customWidth="1"/>
    <col min="4356" max="4358" width="30.453125" style="2" bestFit="1" customWidth="1"/>
    <col min="4359" max="4608" width="9.1796875" style="2"/>
    <col min="4609" max="4609" width="3.81640625" style="2" customWidth="1"/>
    <col min="4610" max="4610" width="22.1796875" style="2" customWidth="1"/>
    <col min="4611" max="4611" width="31" style="2" customWidth="1"/>
    <col min="4612" max="4614" width="30.453125" style="2" bestFit="1" customWidth="1"/>
    <col min="4615" max="4864" width="9.1796875" style="2"/>
    <col min="4865" max="4865" width="3.81640625" style="2" customWidth="1"/>
    <col min="4866" max="4866" width="22.1796875" style="2" customWidth="1"/>
    <col min="4867" max="4867" width="31" style="2" customWidth="1"/>
    <col min="4868" max="4870" width="30.453125" style="2" bestFit="1" customWidth="1"/>
    <col min="4871" max="5120" width="9.1796875" style="2"/>
    <col min="5121" max="5121" width="3.81640625" style="2" customWidth="1"/>
    <col min="5122" max="5122" width="22.1796875" style="2" customWidth="1"/>
    <col min="5123" max="5123" width="31" style="2" customWidth="1"/>
    <col min="5124" max="5126" width="30.453125" style="2" bestFit="1" customWidth="1"/>
    <col min="5127" max="5376" width="9.1796875" style="2"/>
    <col min="5377" max="5377" width="3.81640625" style="2" customWidth="1"/>
    <col min="5378" max="5378" width="22.1796875" style="2" customWidth="1"/>
    <col min="5379" max="5379" width="31" style="2" customWidth="1"/>
    <col min="5380" max="5382" width="30.453125" style="2" bestFit="1" customWidth="1"/>
    <col min="5383" max="5632" width="9.1796875" style="2"/>
    <col min="5633" max="5633" width="3.81640625" style="2" customWidth="1"/>
    <col min="5634" max="5634" width="22.1796875" style="2" customWidth="1"/>
    <col min="5635" max="5635" width="31" style="2" customWidth="1"/>
    <col min="5636" max="5638" width="30.453125" style="2" bestFit="1" customWidth="1"/>
    <col min="5639" max="5888" width="9.1796875" style="2"/>
    <col min="5889" max="5889" width="3.81640625" style="2" customWidth="1"/>
    <col min="5890" max="5890" width="22.1796875" style="2" customWidth="1"/>
    <col min="5891" max="5891" width="31" style="2" customWidth="1"/>
    <col min="5892" max="5894" width="30.453125" style="2" bestFit="1" customWidth="1"/>
    <col min="5895" max="6144" width="9.1796875" style="2"/>
    <col min="6145" max="6145" width="3.81640625" style="2" customWidth="1"/>
    <col min="6146" max="6146" width="22.1796875" style="2" customWidth="1"/>
    <col min="6147" max="6147" width="31" style="2" customWidth="1"/>
    <col min="6148" max="6150" width="30.453125" style="2" bestFit="1" customWidth="1"/>
    <col min="6151" max="6400" width="9.1796875" style="2"/>
    <col min="6401" max="6401" width="3.81640625" style="2" customWidth="1"/>
    <col min="6402" max="6402" width="22.1796875" style="2" customWidth="1"/>
    <col min="6403" max="6403" width="31" style="2" customWidth="1"/>
    <col min="6404" max="6406" width="30.453125" style="2" bestFit="1" customWidth="1"/>
    <col min="6407" max="6656" width="9.1796875" style="2"/>
    <col min="6657" max="6657" width="3.81640625" style="2" customWidth="1"/>
    <col min="6658" max="6658" width="22.1796875" style="2" customWidth="1"/>
    <col min="6659" max="6659" width="31" style="2" customWidth="1"/>
    <col min="6660" max="6662" width="30.453125" style="2" bestFit="1" customWidth="1"/>
    <col min="6663" max="6912" width="9.1796875" style="2"/>
    <col min="6913" max="6913" width="3.81640625" style="2" customWidth="1"/>
    <col min="6914" max="6914" width="22.1796875" style="2" customWidth="1"/>
    <col min="6915" max="6915" width="31" style="2" customWidth="1"/>
    <col min="6916" max="6918" width="30.453125" style="2" bestFit="1" customWidth="1"/>
    <col min="6919" max="7168" width="9.1796875" style="2"/>
    <col min="7169" max="7169" width="3.81640625" style="2" customWidth="1"/>
    <col min="7170" max="7170" width="22.1796875" style="2" customWidth="1"/>
    <col min="7171" max="7171" width="31" style="2" customWidth="1"/>
    <col min="7172" max="7174" width="30.453125" style="2" bestFit="1" customWidth="1"/>
    <col min="7175" max="7424" width="9.1796875" style="2"/>
    <col min="7425" max="7425" width="3.81640625" style="2" customWidth="1"/>
    <col min="7426" max="7426" width="22.1796875" style="2" customWidth="1"/>
    <col min="7427" max="7427" width="31" style="2" customWidth="1"/>
    <col min="7428" max="7430" width="30.453125" style="2" bestFit="1" customWidth="1"/>
    <col min="7431" max="7680" width="9.1796875" style="2"/>
    <col min="7681" max="7681" width="3.81640625" style="2" customWidth="1"/>
    <col min="7682" max="7682" width="22.1796875" style="2" customWidth="1"/>
    <col min="7683" max="7683" width="31" style="2" customWidth="1"/>
    <col min="7684" max="7686" width="30.453125" style="2" bestFit="1" customWidth="1"/>
    <col min="7687" max="7936" width="9.1796875" style="2"/>
    <col min="7937" max="7937" width="3.81640625" style="2" customWidth="1"/>
    <col min="7938" max="7938" width="22.1796875" style="2" customWidth="1"/>
    <col min="7939" max="7939" width="31" style="2" customWidth="1"/>
    <col min="7940" max="7942" width="30.453125" style="2" bestFit="1" customWidth="1"/>
    <col min="7943" max="8192" width="9.1796875" style="2"/>
    <col min="8193" max="8193" width="3.81640625" style="2" customWidth="1"/>
    <col min="8194" max="8194" width="22.1796875" style="2" customWidth="1"/>
    <col min="8195" max="8195" width="31" style="2" customWidth="1"/>
    <col min="8196" max="8198" width="30.453125" style="2" bestFit="1" customWidth="1"/>
    <col min="8199" max="8448" width="9.1796875" style="2"/>
    <col min="8449" max="8449" width="3.81640625" style="2" customWidth="1"/>
    <col min="8450" max="8450" width="22.1796875" style="2" customWidth="1"/>
    <col min="8451" max="8451" width="31" style="2" customWidth="1"/>
    <col min="8452" max="8454" width="30.453125" style="2" bestFit="1" customWidth="1"/>
    <col min="8455" max="8704" width="9.1796875" style="2"/>
    <col min="8705" max="8705" width="3.81640625" style="2" customWidth="1"/>
    <col min="8706" max="8706" width="22.1796875" style="2" customWidth="1"/>
    <col min="8707" max="8707" width="31" style="2" customWidth="1"/>
    <col min="8708" max="8710" width="30.453125" style="2" bestFit="1" customWidth="1"/>
    <col min="8711" max="8960" width="9.1796875" style="2"/>
    <col min="8961" max="8961" width="3.81640625" style="2" customWidth="1"/>
    <col min="8962" max="8962" width="22.1796875" style="2" customWidth="1"/>
    <col min="8963" max="8963" width="31" style="2" customWidth="1"/>
    <col min="8964" max="8966" width="30.453125" style="2" bestFit="1" customWidth="1"/>
    <col min="8967" max="9216" width="9.1796875" style="2"/>
    <col min="9217" max="9217" width="3.81640625" style="2" customWidth="1"/>
    <col min="9218" max="9218" width="22.1796875" style="2" customWidth="1"/>
    <col min="9219" max="9219" width="31" style="2" customWidth="1"/>
    <col min="9220" max="9222" width="30.453125" style="2" bestFit="1" customWidth="1"/>
    <col min="9223" max="9472" width="9.1796875" style="2"/>
    <col min="9473" max="9473" width="3.81640625" style="2" customWidth="1"/>
    <col min="9474" max="9474" width="22.1796875" style="2" customWidth="1"/>
    <col min="9475" max="9475" width="31" style="2" customWidth="1"/>
    <col min="9476" max="9478" width="30.453125" style="2" bestFit="1" customWidth="1"/>
    <col min="9479" max="9728" width="9.1796875" style="2"/>
    <col min="9729" max="9729" width="3.81640625" style="2" customWidth="1"/>
    <col min="9730" max="9730" width="22.1796875" style="2" customWidth="1"/>
    <col min="9731" max="9731" width="31" style="2" customWidth="1"/>
    <col min="9732" max="9734" width="30.453125" style="2" bestFit="1" customWidth="1"/>
    <col min="9735" max="9984" width="9.1796875" style="2"/>
    <col min="9985" max="9985" width="3.81640625" style="2" customWidth="1"/>
    <col min="9986" max="9986" width="22.1796875" style="2" customWidth="1"/>
    <col min="9987" max="9987" width="31" style="2" customWidth="1"/>
    <col min="9988" max="9990" width="30.453125" style="2" bestFit="1" customWidth="1"/>
    <col min="9991" max="10240" width="9.1796875" style="2"/>
    <col min="10241" max="10241" width="3.81640625" style="2" customWidth="1"/>
    <col min="10242" max="10242" width="22.1796875" style="2" customWidth="1"/>
    <col min="10243" max="10243" width="31" style="2" customWidth="1"/>
    <col min="10244" max="10246" width="30.453125" style="2" bestFit="1" customWidth="1"/>
    <col min="10247" max="10496" width="9.1796875" style="2"/>
    <col min="10497" max="10497" width="3.81640625" style="2" customWidth="1"/>
    <col min="10498" max="10498" width="22.1796875" style="2" customWidth="1"/>
    <col min="10499" max="10499" width="31" style="2" customWidth="1"/>
    <col min="10500" max="10502" width="30.453125" style="2" bestFit="1" customWidth="1"/>
    <col min="10503" max="10752" width="9.1796875" style="2"/>
    <col min="10753" max="10753" width="3.81640625" style="2" customWidth="1"/>
    <col min="10754" max="10754" width="22.1796875" style="2" customWidth="1"/>
    <col min="10755" max="10755" width="31" style="2" customWidth="1"/>
    <col min="10756" max="10758" width="30.453125" style="2" bestFit="1" customWidth="1"/>
    <col min="10759" max="11008" width="9.1796875" style="2"/>
    <col min="11009" max="11009" width="3.81640625" style="2" customWidth="1"/>
    <col min="11010" max="11010" width="22.1796875" style="2" customWidth="1"/>
    <col min="11011" max="11011" width="31" style="2" customWidth="1"/>
    <col min="11012" max="11014" width="30.453125" style="2" bestFit="1" customWidth="1"/>
    <col min="11015" max="11264" width="9.1796875" style="2"/>
    <col min="11265" max="11265" width="3.81640625" style="2" customWidth="1"/>
    <col min="11266" max="11266" width="22.1796875" style="2" customWidth="1"/>
    <col min="11267" max="11267" width="31" style="2" customWidth="1"/>
    <col min="11268" max="11270" width="30.453125" style="2" bestFit="1" customWidth="1"/>
    <col min="11271" max="11520" width="9.1796875" style="2"/>
    <col min="11521" max="11521" width="3.81640625" style="2" customWidth="1"/>
    <col min="11522" max="11522" width="22.1796875" style="2" customWidth="1"/>
    <col min="11523" max="11523" width="31" style="2" customWidth="1"/>
    <col min="11524" max="11526" width="30.453125" style="2" bestFit="1" customWidth="1"/>
    <col min="11527" max="11776" width="9.1796875" style="2"/>
    <col min="11777" max="11777" width="3.81640625" style="2" customWidth="1"/>
    <col min="11778" max="11778" width="22.1796875" style="2" customWidth="1"/>
    <col min="11779" max="11779" width="31" style="2" customWidth="1"/>
    <col min="11780" max="11782" width="30.453125" style="2" bestFit="1" customWidth="1"/>
    <col min="11783" max="12032" width="9.1796875" style="2"/>
    <col min="12033" max="12033" width="3.81640625" style="2" customWidth="1"/>
    <col min="12034" max="12034" width="22.1796875" style="2" customWidth="1"/>
    <col min="12035" max="12035" width="31" style="2" customWidth="1"/>
    <col min="12036" max="12038" width="30.453125" style="2" bestFit="1" customWidth="1"/>
    <col min="12039" max="12288" width="9.1796875" style="2"/>
    <col min="12289" max="12289" width="3.81640625" style="2" customWidth="1"/>
    <col min="12290" max="12290" width="22.1796875" style="2" customWidth="1"/>
    <col min="12291" max="12291" width="31" style="2" customWidth="1"/>
    <col min="12292" max="12294" width="30.453125" style="2" bestFit="1" customWidth="1"/>
    <col min="12295" max="12544" width="9.1796875" style="2"/>
    <col min="12545" max="12545" width="3.81640625" style="2" customWidth="1"/>
    <col min="12546" max="12546" width="22.1796875" style="2" customWidth="1"/>
    <col min="12547" max="12547" width="31" style="2" customWidth="1"/>
    <col min="12548" max="12550" width="30.453125" style="2" bestFit="1" customWidth="1"/>
    <col min="12551" max="12800" width="9.1796875" style="2"/>
    <col min="12801" max="12801" width="3.81640625" style="2" customWidth="1"/>
    <col min="12802" max="12802" width="22.1796875" style="2" customWidth="1"/>
    <col min="12803" max="12803" width="31" style="2" customWidth="1"/>
    <col min="12804" max="12806" width="30.453125" style="2" bestFit="1" customWidth="1"/>
    <col min="12807" max="13056" width="9.1796875" style="2"/>
    <col min="13057" max="13057" width="3.81640625" style="2" customWidth="1"/>
    <col min="13058" max="13058" width="22.1796875" style="2" customWidth="1"/>
    <col min="13059" max="13059" width="31" style="2" customWidth="1"/>
    <col min="13060" max="13062" width="30.453125" style="2" bestFit="1" customWidth="1"/>
    <col min="13063" max="13312" width="9.1796875" style="2"/>
    <col min="13313" max="13313" width="3.81640625" style="2" customWidth="1"/>
    <col min="13314" max="13314" width="22.1796875" style="2" customWidth="1"/>
    <col min="13315" max="13315" width="31" style="2" customWidth="1"/>
    <col min="13316" max="13318" width="30.453125" style="2" bestFit="1" customWidth="1"/>
    <col min="13319" max="13568" width="9.1796875" style="2"/>
    <col min="13569" max="13569" width="3.81640625" style="2" customWidth="1"/>
    <col min="13570" max="13570" width="22.1796875" style="2" customWidth="1"/>
    <col min="13571" max="13571" width="31" style="2" customWidth="1"/>
    <col min="13572" max="13574" width="30.453125" style="2" bestFit="1" customWidth="1"/>
    <col min="13575" max="13824" width="9.1796875" style="2"/>
    <col min="13825" max="13825" width="3.81640625" style="2" customWidth="1"/>
    <col min="13826" max="13826" width="22.1796875" style="2" customWidth="1"/>
    <col min="13827" max="13827" width="31" style="2" customWidth="1"/>
    <col min="13828" max="13830" width="30.453125" style="2" bestFit="1" customWidth="1"/>
    <col min="13831" max="14080" width="9.1796875" style="2"/>
    <col min="14081" max="14081" width="3.81640625" style="2" customWidth="1"/>
    <col min="14082" max="14082" width="22.1796875" style="2" customWidth="1"/>
    <col min="14083" max="14083" width="31" style="2" customWidth="1"/>
    <col min="14084" max="14086" width="30.453125" style="2" bestFit="1" customWidth="1"/>
    <col min="14087" max="14336" width="9.1796875" style="2"/>
    <col min="14337" max="14337" width="3.81640625" style="2" customWidth="1"/>
    <col min="14338" max="14338" width="22.1796875" style="2" customWidth="1"/>
    <col min="14339" max="14339" width="31" style="2" customWidth="1"/>
    <col min="14340" max="14342" width="30.453125" style="2" bestFit="1" customWidth="1"/>
    <col min="14343" max="14592" width="9.1796875" style="2"/>
    <col min="14593" max="14593" width="3.81640625" style="2" customWidth="1"/>
    <col min="14594" max="14594" width="22.1796875" style="2" customWidth="1"/>
    <col min="14595" max="14595" width="31" style="2" customWidth="1"/>
    <col min="14596" max="14598" width="30.453125" style="2" bestFit="1" customWidth="1"/>
    <col min="14599" max="14848" width="9.1796875" style="2"/>
    <col min="14849" max="14849" width="3.81640625" style="2" customWidth="1"/>
    <col min="14850" max="14850" width="22.1796875" style="2" customWidth="1"/>
    <col min="14851" max="14851" width="31" style="2" customWidth="1"/>
    <col min="14852" max="14854" width="30.453125" style="2" bestFit="1" customWidth="1"/>
    <col min="14855" max="15104" width="9.1796875" style="2"/>
    <col min="15105" max="15105" width="3.81640625" style="2" customWidth="1"/>
    <col min="15106" max="15106" width="22.1796875" style="2" customWidth="1"/>
    <col min="15107" max="15107" width="31" style="2" customWidth="1"/>
    <col min="15108" max="15110" width="30.453125" style="2" bestFit="1" customWidth="1"/>
    <col min="15111" max="15360" width="9.1796875" style="2"/>
    <col min="15361" max="15361" width="3.81640625" style="2" customWidth="1"/>
    <col min="15362" max="15362" width="22.1796875" style="2" customWidth="1"/>
    <col min="15363" max="15363" width="31" style="2" customWidth="1"/>
    <col min="15364" max="15366" width="30.453125" style="2" bestFit="1" customWidth="1"/>
    <col min="15367" max="15616" width="9.1796875" style="2"/>
    <col min="15617" max="15617" width="3.81640625" style="2" customWidth="1"/>
    <col min="15618" max="15618" width="22.1796875" style="2" customWidth="1"/>
    <col min="15619" max="15619" width="31" style="2" customWidth="1"/>
    <col min="15620" max="15622" width="30.453125" style="2" bestFit="1" customWidth="1"/>
    <col min="15623" max="15872" width="9.1796875" style="2"/>
    <col min="15873" max="15873" width="3.81640625" style="2" customWidth="1"/>
    <col min="15874" max="15874" width="22.1796875" style="2" customWidth="1"/>
    <col min="15875" max="15875" width="31" style="2" customWidth="1"/>
    <col min="15876" max="15878" width="30.453125" style="2" bestFit="1" customWidth="1"/>
    <col min="15879" max="16128" width="9.1796875" style="2"/>
    <col min="16129" max="16129" width="3.81640625" style="2" customWidth="1"/>
    <col min="16130" max="16130" width="22.1796875" style="2" customWidth="1"/>
    <col min="16131" max="16131" width="31" style="2" customWidth="1"/>
    <col min="16132" max="16134" width="30.453125" style="2" bestFit="1" customWidth="1"/>
    <col min="16135" max="16384" width="9.1796875" style="2"/>
  </cols>
  <sheetData>
    <row r="1" spans="1:5" ht="44.25" customHeight="1" x14ac:dyDescent="0.55000000000000004">
      <c r="A1" s="75" t="s">
        <v>0</v>
      </c>
      <c r="B1" s="75"/>
    </row>
    <row r="2" spans="1:5" x14ac:dyDescent="0.45">
      <c r="A2" s="3"/>
    </row>
    <row r="3" spans="1:5" x14ac:dyDescent="0.35">
      <c r="A3" s="4" t="s">
        <v>1</v>
      </c>
    </row>
    <row r="4" spans="1:5" ht="44.25" customHeight="1" x14ac:dyDescent="0.35">
      <c r="A4" s="4" t="s">
        <v>2</v>
      </c>
    </row>
    <row r="5" spans="1:5" ht="23.5" x14ac:dyDescent="0.55000000000000004">
      <c r="A5" s="3"/>
      <c r="B5" s="5" t="s">
        <v>3</v>
      </c>
      <c r="C5" s="6"/>
      <c r="D5" s="6"/>
    </row>
    <row r="6" spans="1:5" ht="19" x14ac:dyDescent="0.5">
      <c r="A6" s="3"/>
      <c r="B6" s="7" t="s">
        <v>4</v>
      </c>
      <c r="C6" s="8" t="s">
        <v>5</v>
      </c>
      <c r="D6" s="9" t="s">
        <v>6</v>
      </c>
      <c r="E6" s="25" t="s">
        <v>7</v>
      </c>
    </row>
    <row r="7" spans="1:5" ht="33" x14ac:dyDescent="0.6">
      <c r="A7" s="3"/>
      <c r="B7" s="10" t="s">
        <v>8</v>
      </c>
      <c r="C7" s="11" t="s">
        <v>9</v>
      </c>
      <c r="D7" s="12" t="s">
        <v>10</v>
      </c>
      <c r="E7" s="25" t="s">
        <v>11</v>
      </c>
    </row>
    <row r="8" spans="1:5" ht="33" x14ac:dyDescent="0.6">
      <c r="A8" s="3"/>
      <c r="B8" s="10" t="s">
        <v>12</v>
      </c>
      <c r="C8" s="11" t="s">
        <v>13</v>
      </c>
      <c r="D8" s="13" t="s">
        <v>14</v>
      </c>
      <c r="E8" s="25" t="s">
        <v>15</v>
      </c>
    </row>
    <row r="9" spans="1:5" ht="21" x14ac:dyDescent="0.6">
      <c r="A9" s="3"/>
      <c r="B9" s="10" t="s">
        <v>16</v>
      </c>
      <c r="C9" s="14" t="s">
        <v>17</v>
      </c>
      <c r="D9" s="6"/>
    </row>
    <row r="10" spans="1:5" ht="21" x14ac:dyDescent="0.6">
      <c r="A10" s="3"/>
      <c r="B10" s="10" t="s">
        <v>18</v>
      </c>
      <c r="C10" s="14" t="s">
        <v>19</v>
      </c>
      <c r="D10" s="6"/>
    </row>
    <row r="11" spans="1:5" ht="21" x14ac:dyDescent="0.6">
      <c r="A11" s="3"/>
      <c r="B11" s="10" t="s">
        <v>20</v>
      </c>
      <c r="C11" s="14" t="s">
        <v>21</v>
      </c>
      <c r="D11" s="6"/>
    </row>
    <row r="12" spans="1:5" ht="21" x14ac:dyDescent="0.6">
      <c r="A12" s="3"/>
      <c r="B12" s="10" t="s">
        <v>22</v>
      </c>
      <c r="C12" s="14" t="s">
        <v>23</v>
      </c>
      <c r="D12" s="6"/>
    </row>
    <row r="13" spans="1:5" ht="21" x14ac:dyDescent="0.6">
      <c r="A13" s="3"/>
      <c r="B13" s="10" t="s">
        <v>24</v>
      </c>
      <c r="C13" s="14" t="s">
        <v>25</v>
      </c>
      <c r="D13" s="6"/>
    </row>
    <row r="14" spans="1:5" ht="21" x14ac:dyDescent="0.6">
      <c r="A14" s="3"/>
      <c r="B14" s="10" t="s">
        <v>26</v>
      </c>
      <c r="C14" s="14" t="s">
        <v>27</v>
      </c>
      <c r="D14" s="6"/>
    </row>
    <row r="15" spans="1:5" ht="21" x14ac:dyDescent="0.6">
      <c r="A15" s="3"/>
      <c r="B15" s="10" t="s">
        <v>28</v>
      </c>
      <c r="C15" s="14" t="s">
        <v>29</v>
      </c>
      <c r="D15" s="6"/>
    </row>
    <row r="16" spans="1:5" ht="21" x14ac:dyDescent="0.6">
      <c r="A16" s="3"/>
      <c r="B16" s="10" t="s">
        <v>30</v>
      </c>
      <c r="C16" s="14" t="s">
        <v>31</v>
      </c>
      <c r="D16" s="6"/>
    </row>
    <row r="17" spans="1:4" ht="32" x14ac:dyDescent="0.6">
      <c r="A17" s="3"/>
      <c r="B17" s="10" t="s">
        <v>32</v>
      </c>
      <c r="C17" s="14" t="s">
        <v>33</v>
      </c>
      <c r="D17" s="6"/>
    </row>
    <row r="18" spans="1:4" ht="21" x14ac:dyDescent="0.6">
      <c r="A18" s="3"/>
      <c r="B18" s="10" t="s">
        <v>34</v>
      </c>
      <c r="C18" s="14" t="s">
        <v>35</v>
      </c>
      <c r="D18" s="6"/>
    </row>
    <row r="19" spans="1:4" ht="21" x14ac:dyDescent="0.6">
      <c r="A19" s="3"/>
      <c r="B19" s="10" t="s">
        <v>36</v>
      </c>
      <c r="C19" s="14" t="s">
        <v>37</v>
      </c>
      <c r="D19" s="6"/>
    </row>
    <row r="20" spans="1:4" ht="21" x14ac:dyDescent="0.6">
      <c r="A20" s="3"/>
      <c r="B20" s="10" t="s">
        <v>38</v>
      </c>
      <c r="C20" s="14" t="s">
        <v>39</v>
      </c>
      <c r="D20" s="6"/>
    </row>
    <row r="21" spans="1:4" ht="32" x14ac:dyDescent="0.6">
      <c r="A21" s="3"/>
      <c r="B21" s="10" t="s">
        <v>40</v>
      </c>
      <c r="C21" s="14" t="s">
        <v>41</v>
      </c>
      <c r="D21" s="6"/>
    </row>
    <row r="22" spans="1:4" ht="21" x14ac:dyDescent="0.6">
      <c r="A22" s="3"/>
      <c r="B22" s="10" t="s">
        <v>42</v>
      </c>
      <c r="C22" s="14" t="s">
        <v>43</v>
      </c>
      <c r="D22" s="6"/>
    </row>
    <row r="23" spans="1:4" ht="21" x14ac:dyDescent="0.6">
      <c r="A23" s="3"/>
      <c r="B23" s="10" t="s">
        <v>44</v>
      </c>
      <c r="C23" s="14" t="s">
        <v>45</v>
      </c>
      <c r="D23" s="6"/>
    </row>
    <row r="24" spans="1:4" ht="21" x14ac:dyDescent="0.6">
      <c r="A24" s="3"/>
      <c r="B24" s="10" t="s">
        <v>46</v>
      </c>
      <c r="C24" s="14" t="s">
        <v>47</v>
      </c>
      <c r="D24" s="6"/>
    </row>
    <row r="25" spans="1:4" ht="21" x14ac:dyDescent="0.6">
      <c r="A25" s="3"/>
      <c r="B25" s="10" t="s">
        <v>48</v>
      </c>
      <c r="C25" s="14" t="s">
        <v>49</v>
      </c>
      <c r="D25" s="6"/>
    </row>
    <row r="26" spans="1:4" ht="21" x14ac:dyDescent="0.6">
      <c r="A26" s="3"/>
      <c r="B26" s="10" t="s">
        <v>50</v>
      </c>
      <c r="C26" s="14" t="s">
        <v>51</v>
      </c>
      <c r="D26" s="6"/>
    </row>
    <row r="27" spans="1:4" ht="21" x14ac:dyDescent="0.6">
      <c r="A27" s="3"/>
      <c r="B27" s="10" t="s">
        <v>52</v>
      </c>
      <c r="C27" s="14" t="s">
        <v>53</v>
      </c>
      <c r="D27" s="6"/>
    </row>
    <row r="28" spans="1:4" ht="21" x14ac:dyDescent="0.6">
      <c r="A28" s="3"/>
      <c r="B28" s="10" t="s">
        <v>54</v>
      </c>
      <c r="C28" s="14" t="s">
        <v>55</v>
      </c>
      <c r="D28" s="6"/>
    </row>
    <row r="29" spans="1:4" ht="21" x14ac:dyDescent="0.6">
      <c r="A29" s="3"/>
      <c r="B29" s="10" t="s">
        <v>56</v>
      </c>
      <c r="C29" s="14" t="s">
        <v>57</v>
      </c>
      <c r="D29" s="6"/>
    </row>
    <row r="30" spans="1:4" ht="21" x14ac:dyDescent="0.6">
      <c r="A30" s="3"/>
      <c r="B30" s="10" t="s">
        <v>58</v>
      </c>
      <c r="C30" s="14" t="s">
        <v>59</v>
      </c>
      <c r="D30" s="6"/>
    </row>
    <row r="31" spans="1:4" ht="21" x14ac:dyDescent="0.6">
      <c r="A31" s="3"/>
      <c r="B31" s="10" t="s">
        <v>60</v>
      </c>
      <c r="C31" s="14" t="s">
        <v>61</v>
      </c>
      <c r="D31" s="6"/>
    </row>
    <row r="32" spans="1:4" ht="21" x14ac:dyDescent="0.6">
      <c r="A32" s="3"/>
      <c r="B32" s="10" t="s">
        <v>62</v>
      </c>
      <c r="C32" s="14" t="s">
        <v>63</v>
      </c>
      <c r="D32" s="6"/>
    </row>
    <row r="33" spans="1:5" ht="21" x14ac:dyDescent="0.6">
      <c r="A33" s="3"/>
      <c r="B33" s="10" t="s">
        <v>64</v>
      </c>
      <c r="C33" s="14" t="s">
        <v>65</v>
      </c>
      <c r="D33" s="6"/>
    </row>
    <row r="34" spans="1:5" ht="21" x14ac:dyDescent="0.6">
      <c r="A34" s="3"/>
      <c r="B34" s="6"/>
      <c r="C34" s="15"/>
      <c r="D34" s="6"/>
    </row>
    <row r="35" spans="1:5" ht="27.5" x14ac:dyDescent="0.8">
      <c r="A35" s="76" t="s">
        <v>66</v>
      </c>
      <c r="B35" s="76"/>
      <c r="C35" s="6"/>
      <c r="D35" s="6"/>
    </row>
    <row r="36" spans="1:5" x14ac:dyDescent="0.35">
      <c r="A36" s="16" t="s">
        <v>67</v>
      </c>
      <c r="E36" s="1"/>
    </row>
    <row r="37" spans="1:5" x14ac:dyDescent="0.35">
      <c r="B37" s="74" t="s">
        <v>68</v>
      </c>
      <c r="C37" s="74"/>
      <c r="D37" s="74"/>
      <c r="E37" s="1"/>
    </row>
    <row r="38" spans="1:5" ht="12" customHeight="1" x14ac:dyDescent="0.35">
      <c r="B38" s="17"/>
      <c r="C38" s="17"/>
      <c r="D38" s="17"/>
      <c r="E38" s="1"/>
    </row>
    <row r="39" spans="1:5" s="18" customFormat="1" ht="16" x14ac:dyDescent="0.35">
      <c r="B39" s="19" t="s">
        <v>69</v>
      </c>
      <c r="C39" s="19" t="s">
        <v>70</v>
      </c>
      <c r="D39" s="19" t="s">
        <v>71</v>
      </c>
      <c r="E39" s="26"/>
    </row>
    <row r="40" spans="1:5" x14ac:dyDescent="0.35">
      <c r="B40" s="20" t="s">
        <v>72</v>
      </c>
      <c r="C40" s="21" t="s">
        <v>73</v>
      </c>
      <c r="D40" s="22" t="str">
        <f>RIGHT(B40,4)</f>
        <v>mier</v>
      </c>
      <c r="E40" s="27"/>
    </row>
    <row r="41" spans="1:5" x14ac:dyDescent="0.35">
      <c r="B41" s="20" t="s">
        <v>72</v>
      </c>
      <c r="C41" s="21" t="s">
        <v>74</v>
      </c>
      <c r="D41" s="22" t="str">
        <f>RIGHT(B41,1)</f>
        <v>r</v>
      </c>
      <c r="E41" s="27"/>
    </row>
    <row r="43" spans="1:5" x14ac:dyDescent="0.35">
      <c r="A43" s="16" t="s">
        <v>75</v>
      </c>
      <c r="E43" s="1"/>
    </row>
    <row r="44" spans="1:5" x14ac:dyDescent="0.35">
      <c r="B44" s="74" t="s">
        <v>76</v>
      </c>
      <c r="C44" s="74"/>
      <c r="D44" s="74"/>
      <c r="E44" s="1"/>
    </row>
    <row r="45" spans="1:5" ht="12" customHeight="1" x14ac:dyDescent="0.35">
      <c r="B45" s="17"/>
      <c r="C45" s="17"/>
      <c r="D45" s="17"/>
      <c r="E45" s="1"/>
    </row>
    <row r="46" spans="1:5" s="18" customFormat="1" ht="16" x14ac:dyDescent="0.35">
      <c r="B46" s="19" t="s">
        <v>69</v>
      </c>
      <c r="C46" s="19" t="s">
        <v>70</v>
      </c>
      <c r="D46" s="19" t="s">
        <v>71</v>
      </c>
      <c r="E46" s="26"/>
    </row>
    <row r="47" spans="1:5" x14ac:dyDescent="0.35">
      <c r="B47" s="20" t="s">
        <v>72</v>
      </c>
      <c r="C47" s="21" t="s">
        <v>77</v>
      </c>
      <c r="D47" s="22" t="str">
        <f>LEFT(B47,4)</f>
        <v>Ahme</v>
      </c>
      <c r="E47" s="27"/>
    </row>
    <row r="48" spans="1:5" x14ac:dyDescent="0.35">
      <c r="B48" s="20" t="s">
        <v>72</v>
      </c>
      <c r="C48" s="21" t="s">
        <v>78</v>
      </c>
      <c r="D48" s="22" t="str">
        <f>LEFT(B48,1)</f>
        <v>A</v>
      </c>
      <c r="E48" s="27"/>
    </row>
    <row r="50" spans="1:5" x14ac:dyDescent="0.35">
      <c r="A50" s="16" t="s">
        <v>79</v>
      </c>
      <c r="E50" s="1"/>
    </row>
    <row r="51" spans="1:5" x14ac:dyDescent="0.35">
      <c r="A51" s="2" t="s">
        <v>80</v>
      </c>
      <c r="B51" s="74" t="s">
        <v>81</v>
      </c>
      <c r="C51" s="74"/>
      <c r="D51" s="74"/>
      <c r="E51" s="1"/>
    </row>
    <row r="52" spans="1:5" x14ac:dyDescent="0.35">
      <c r="B52" s="74" t="s">
        <v>82</v>
      </c>
      <c r="C52" s="74"/>
      <c r="D52" s="74"/>
    </row>
    <row r="53" spans="1:5" ht="12" customHeight="1" x14ac:dyDescent="0.35">
      <c r="B53" s="17"/>
      <c r="C53" s="17"/>
      <c r="D53" s="17"/>
      <c r="E53" s="1"/>
    </row>
    <row r="54" spans="1:5" s="18" customFormat="1" ht="16" x14ac:dyDescent="0.35">
      <c r="B54" s="19" t="s">
        <v>69</v>
      </c>
      <c r="C54" s="19" t="s">
        <v>70</v>
      </c>
      <c r="D54" s="19" t="s">
        <v>71</v>
      </c>
      <c r="E54" s="26"/>
    </row>
    <row r="55" spans="1:5" x14ac:dyDescent="0.35">
      <c r="B55" s="20" t="s">
        <v>72</v>
      </c>
      <c r="C55" s="21" t="s">
        <v>83</v>
      </c>
      <c r="D55" s="22" t="str">
        <f>MID(B55,4,4)</f>
        <v>ed S</v>
      </c>
    </row>
    <row r="56" spans="1:5" x14ac:dyDescent="0.35">
      <c r="B56" s="20" t="s">
        <v>72</v>
      </c>
      <c r="C56" s="21" t="s">
        <v>84</v>
      </c>
      <c r="D56" s="22" t="str">
        <f>MID(B56,FIND(" ",B56),999)</f>
        <v xml:space="preserve"> Samier</v>
      </c>
      <c r="E56" s="28" t="s">
        <v>85</v>
      </c>
    </row>
    <row r="58" spans="1:5" x14ac:dyDescent="0.35">
      <c r="A58" s="16" t="s">
        <v>86</v>
      </c>
      <c r="E58" s="1"/>
    </row>
    <row r="59" spans="1:5" x14ac:dyDescent="0.35">
      <c r="B59" s="74" t="s">
        <v>87</v>
      </c>
      <c r="C59" s="74"/>
      <c r="D59" s="74"/>
    </row>
    <row r="60" spans="1:5" ht="12" customHeight="1" x14ac:dyDescent="0.35">
      <c r="B60" s="17"/>
      <c r="C60" s="17"/>
      <c r="D60" s="17"/>
      <c r="E60" s="1"/>
    </row>
    <row r="61" spans="1:5" s="18" customFormat="1" ht="16" x14ac:dyDescent="0.35">
      <c r="B61" s="19" t="s">
        <v>69</v>
      </c>
      <c r="C61" s="19" t="s">
        <v>70</v>
      </c>
      <c r="D61" s="19" t="s">
        <v>71</v>
      </c>
      <c r="E61" s="26"/>
    </row>
    <row r="62" spans="1:5" x14ac:dyDescent="0.35">
      <c r="B62" s="20" t="s">
        <v>72</v>
      </c>
      <c r="C62" s="21" t="s">
        <v>88</v>
      </c>
      <c r="D62" s="22" t="str">
        <f>B62&amp;" was a Good Employee"</f>
        <v>Ahmed Samier was a Good Employee</v>
      </c>
      <c r="E62" s="1"/>
    </row>
    <row r="63" spans="1:5" x14ac:dyDescent="0.35">
      <c r="B63" s="2"/>
      <c r="C63" s="2"/>
      <c r="E63" s="1"/>
    </row>
    <row r="64" spans="1:5" x14ac:dyDescent="0.35">
      <c r="A64" s="16" t="s">
        <v>89</v>
      </c>
      <c r="E64" s="1"/>
    </row>
    <row r="65" spans="2:5" x14ac:dyDescent="0.35">
      <c r="B65" s="74" t="s">
        <v>90</v>
      </c>
      <c r="C65" s="74"/>
      <c r="D65" s="74"/>
      <c r="E65" s="1"/>
    </row>
    <row r="66" spans="2:5" x14ac:dyDescent="0.35">
      <c r="B66" s="74" t="s">
        <v>91</v>
      </c>
      <c r="C66" s="74"/>
      <c r="D66" s="74"/>
      <c r="E66" s="1"/>
    </row>
    <row r="67" spans="2:5" ht="12" customHeight="1" x14ac:dyDescent="0.35">
      <c r="B67" s="17"/>
      <c r="C67" s="17"/>
      <c r="D67" s="17"/>
      <c r="E67" s="1"/>
    </row>
    <row r="68" spans="2:5" s="18" customFormat="1" ht="16" x14ac:dyDescent="0.35">
      <c r="B68" s="19" t="s">
        <v>69</v>
      </c>
      <c r="C68" s="19" t="s">
        <v>70</v>
      </c>
      <c r="D68" s="19" t="s">
        <v>71</v>
      </c>
      <c r="E68" s="26"/>
    </row>
    <row r="69" spans="2:5" x14ac:dyDescent="0.35">
      <c r="B69" s="20" t="s">
        <v>92</v>
      </c>
      <c r="C69" s="21" t="s">
        <v>93</v>
      </c>
      <c r="D69" s="23">
        <f>FIND("l",B69)</f>
        <v>3</v>
      </c>
    </row>
    <row r="70" spans="2:5" ht="32" x14ac:dyDescent="0.35">
      <c r="B70" s="20" t="s">
        <v>92</v>
      </c>
      <c r="C70" s="21" t="s">
        <v>94</v>
      </c>
      <c r="D70" s="23">
        <f>FIND("n",B70,10)</f>
        <v>12</v>
      </c>
      <c r="E70" s="28" t="s">
        <v>95</v>
      </c>
    </row>
    <row r="71" spans="2:5" ht="32" x14ac:dyDescent="0.35">
      <c r="B71" s="20" t="s">
        <v>92</v>
      </c>
      <c r="C71" s="21" t="s">
        <v>96</v>
      </c>
      <c r="D71" s="23" t="e">
        <f>FIND("X",B71)</f>
        <v>#VALUE!</v>
      </c>
      <c r="E71" s="28" t="s">
        <v>97</v>
      </c>
    </row>
  </sheetData>
  <mergeCells count="9">
    <mergeCell ref="B59:D59"/>
    <mergeCell ref="B65:D65"/>
    <mergeCell ref="B66:D66"/>
    <mergeCell ref="A1:B1"/>
    <mergeCell ref="A35:B35"/>
    <mergeCell ref="B37:D37"/>
    <mergeCell ref="B44:D44"/>
    <mergeCell ref="B51:D51"/>
    <mergeCell ref="B52:D52"/>
  </mergeCells>
  <pageMargins left="0.75" right="0.75" top="1" bottom="1" header="0.5" footer="0.5"/>
  <pageSetup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dimension ref="A1:E17"/>
  <sheetViews>
    <sheetView zoomScale="67" zoomScaleNormal="115" workbookViewId="0">
      <selection activeCell="D4" sqref="D4"/>
    </sheetView>
  </sheetViews>
  <sheetFormatPr defaultRowHeight="14.5" x14ac:dyDescent="0.35"/>
  <cols>
    <col min="1" max="1" width="19" customWidth="1"/>
    <col min="2" max="2" width="19.26953125" customWidth="1"/>
    <col min="3" max="3" width="19.7265625" customWidth="1"/>
    <col min="4" max="4" width="21.36328125" bestFit="1" customWidth="1"/>
    <col min="5" max="5" width="20.453125" bestFit="1" customWidth="1"/>
  </cols>
  <sheetData>
    <row r="1" spans="1:5" ht="24" customHeight="1" x14ac:dyDescent="0.35">
      <c r="A1" s="77" t="s">
        <v>321</v>
      </c>
      <c r="B1" s="77"/>
    </row>
    <row r="2" spans="1:5" x14ac:dyDescent="0.35">
      <c r="A2" t="s">
        <v>98</v>
      </c>
    </row>
    <row r="3" spans="1:5" x14ac:dyDescent="0.35">
      <c r="A3" s="44" t="s">
        <v>99</v>
      </c>
      <c r="B3" s="44" t="s">
        <v>100</v>
      </c>
      <c r="C3" s="44" t="s">
        <v>101</v>
      </c>
    </row>
    <row r="4" spans="1:5" x14ac:dyDescent="0.35">
      <c r="A4" s="42" t="s">
        <v>102</v>
      </c>
      <c r="B4" s="42" t="s">
        <v>103</v>
      </c>
      <c r="C4" s="72" t="str">
        <f>_xlfn.CONCAT(A4," ",B4)</f>
        <v>Ahmed Mohamed</v>
      </c>
      <c r="D4" t="str">
        <f>A4&amp;" "&amp;B4</f>
        <v>Ahmed Mohamed</v>
      </c>
    </row>
    <row r="5" spans="1:5" x14ac:dyDescent="0.35">
      <c r="A5" s="42" t="s">
        <v>104</v>
      </c>
      <c r="B5" s="42" t="s">
        <v>103</v>
      </c>
      <c r="C5" s="72" t="str">
        <f t="shared" ref="C5:C8" si="0">_xlfn.CONCAT(A5," ",B5)</f>
        <v>Nora Mohamed</v>
      </c>
      <c r="D5" t="str">
        <f t="shared" ref="D5:D8" si="1">A5&amp;" "&amp;B5</f>
        <v>Nora Mohamed</v>
      </c>
    </row>
    <row r="6" spans="1:5" x14ac:dyDescent="0.35">
      <c r="A6" s="42" t="s">
        <v>106</v>
      </c>
      <c r="B6" s="42" t="s">
        <v>103</v>
      </c>
      <c r="C6" s="72" t="str">
        <f t="shared" si="0"/>
        <v>Osama Mohamed</v>
      </c>
      <c r="D6" t="str">
        <f t="shared" si="1"/>
        <v>Osama Mohamed</v>
      </c>
    </row>
    <row r="7" spans="1:5" x14ac:dyDescent="0.35">
      <c r="A7" s="42" t="s">
        <v>108</v>
      </c>
      <c r="B7" s="42" t="s">
        <v>103</v>
      </c>
      <c r="C7" s="72" t="str">
        <f t="shared" si="0"/>
        <v>Nader Mohamed</v>
      </c>
      <c r="D7" t="str">
        <f t="shared" si="1"/>
        <v>Nader Mohamed</v>
      </c>
    </row>
    <row r="8" spans="1:5" x14ac:dyDescent="0.35">
      <c r="A8" s="42" t="s">
        <v>109</v>
      </c>
      <c r="B8" s="42" t="s">
        <v>103</v>
      </c>
      <c r="C8" s="72" t="str">
        <f t="shared" si="0"/>
        <v>Mahmoud Mohamed</v>
      </c>
      <c r="D8" t="str">
        <f t="shared" si="1"/>
        <v>Mahmoud Mohamed</v>
      </c>
    </row>
    <row r="10" spans="1:5" x14ac:dyDescent="0.35">
      <c r="A10" s="78" t="s">
        <v>223</v>
      </c>
      <c r="B10" s="78"/>
      <c r="C10" s="78"/>
    </row>
    <row r="12" spans="1:5" x14ac:dyDescent="0.35">
      <c r="A12" s="44" t="s">
        <v>99</v>
      </c>
      <c r="B12" s="44" t="s">
        <v>111</v>
      </c>
      <c r="C12" s="44" t="s">
        <v>100</v>
      </c>
      <c r="D12" s="44" t="s">
        <v>101</v>
      </c>
    </row>
    <row r="13" spans="1:5" x14ac:dyDescent="0.35">
      <c r="A13" s="42" t="s">
        <v>102</v>
      </c>
      <c r="B13" s="42" t="s">
        <v>112</v>
      </c>
      <c r="C13" s="42" t="s">
        <v>103</v>
      </c>
      <c r="D13" s="43" t="str">
        <f>_xlfn.CONCAT(A13," ",B13," ",C13)</f>
        <v>Ahmed ali Mohamed</v>
      </c>
      <c r="E13" t="str">
        <f>A13&amp;" "&amp;B13&amp;" "&amp;C13</f>
        <v>Ahmed ali Mohamed</v>
      </c>
    </row>
    <row r="14" spans="1:5" x14ac:dyDescent="0.35">
      <c r="A14" s="42" t="s">
        <v>104</v>
      </c>
      <c r="B14" s="42" t="s">
        <v>113</v>
      </c>
      <c r="C14" s="42" t="s">
        <v>105</v>
      </c>
      <c r="D14" s="43" t="str">
        <f t="shared" ref="D14:D16" si="2">_xlfn.CONCAT(A14," ",B14," ",C14)</f>
        <v>Nora omar Kamal</v>
      </c>
      <c r="E14" t="str">
        <f t="shared" ref="E14:E17" si="3">A14&amp;" "&amp;B14&amp;" "&amp;C14</f>
        <v>Nora omar Kamal</v>
      </c>
    </row>
    <row r="15" spans="1:5" x14ac:dyDescent="0.35">
      <c r="A15" s="42" t="s">
        <v>106</v>
      </c>
      <c r="B15" s="42" t="s">
        <v>114</v>
      </c>
      <c r="C15" s="42" t="s">
        <v>107</v>
      </c>
      <c r="D15" s="43" t="str">
        <f t="shared" si="2"/>
        <v>Osama amr Galal</v>
      </c>
      <c r="E15" t="str">
        <f t="shared" si="3"/>
        <v>Osama amr Galal</v>
      </c>
    </row>
    <row r="16" spans="1:5" x14ac:dyDescent="0.35">
      <c r="A16" s="42" t="s">
        <v>108</v>
      </c>
      <c r="B16" s="42" t="s">
        <v>115</v>
      </c>
      <c r="C16" s="42" t="s">
        <v>102</v>
      </c>
      <c r="D16" s="43" t="str">
        <f t="shared" si="2"/>
        <v>Nader sayed Ahmed</v>
      </c>
      <c r="E16" t="str">
        <f t="shared" si="3"/>
        <v>Nader sayed Ahmed</v>
      </c>
    </row>
    <row r="17" spans="1:5" x14ac:dyDescent="0.35">
      <c r="A17" s="42" t="s">
        <v>109</v>
      </c>
      <c r="B17" s="42" t="s">
        <v>116</v>
      </c>
      <c r="C17" s="42" t="s">
        <v>110</v>
      </c>
      <c r="D17" s="43" t="str">
        <f>_xlfn.CONCAT(A17," ",B17," ",C17)</f>
        <v>Mahmoud ahmed Zaher</v>
      </c>
      <c r="E17" t="str">
        <f t="shared" si="3"/>
        <v>Mahmoud ahmed Zaher</v>
      </c>
    </row>
  </sheetData>
  <mergeCells count="2">
    <mergeCell ref="A1:B1"/>
    <mergeCell ref="A10:C10"/>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dimension ref="A1:C9"/>
  <sheetViews>
    <sheetView zoomScale="115" zoomScaleNormal="115" workbookViewId="0">
      <selection activeCell="C8" sqref="C8"/>
    </sheetView>
  </sheetViews>
  <sheetFormatPr defaultRowHeight="14.5" x14ac:dyDescent="0.35"/>
  <cols>
    <col min="1" max="1" width="27.1796875" customWidth="1"/>
    <col min="2" max="2" width="22.453125" bestFit="1" customWidth="1"/>
    <col min="3" max="3" width="20.26953125" bestFit="1" customWidth="1"/>
  </cols>
  <sheetData>
    <row r="1" spans="1:3" ht="24.75" customHeight="1" x14ac:dyDescent="0.35">
      <c r="A1" s="77" t="s">
        <v>36</v>
      </c>
      <c r="B1" s="77"/>
    </row>
    <row r="2" spans="1:3" ht="29.25" customHeight="1" x14ac:dyDescent="0.35">
      <c r="A2" s="79" t="s">
        <v>224</v>
      </c>
      <c r="B2" s="79"/>
      <c r="C2" s="79"/>
    </row>
    <row r="4" spans="1:3" x14ac:dyDescent="0.35">
      <c r="A4" s="44" t="s">
        <v>101</v>
      </c>
      <c r="B4" s="44" t="s">
        <v>36</v>
      </c>
    </row>
    <row r="5" spans="1:3" x14ac:dyDescent="0.35">
      <c r="A5" s="42" t="s">
        <v>325</v>
      </c>
      <c r="B5" s="42">
        <f>LEN(A5)</f>
        <v>17</v>
      </c>
      <c r="C5" t="str">
        <f>TRIM(COUNTA(_xlfn.TEXTSPLIT(A5," ")))</f>
        <v>3</v>
      </c>
    </row>
    <row r="6" spans="1:3" x14ac:dyDescent="0.35">
      <c r="A6" s="42" t="s">
        <v>117</v>
      </c>
      <c r="B6" s="42">
        <f t="shared" ref="B6:B9" si="0">LEN(A6)</f>
        <v>15</v>
      </c>
      <c r="C6" t="str">
        <f t="shared" ref="C6:C9" si="1">TRIM(COUNTA(_xlfn.TEXTSPLIT(A6," ")))</f>
        <v>3</v>
      </c>
    </row>
    <row r="7" spans="1:3" x14ac:dyDescent="0.35">
      <c r="A7" s="42" t="s">
        <v>118</v>
      </c>
      <c r="B7" s="42">
        <f t="shared" si="0"/>
        <v>15</v>
      </c>
      <c r="C7" t="str">
        <f t="shared" si="1"/>
        <v>3</v>
      </c>
    </row>
    <row r="8" spans="1:3" x14ac:dyDescent="0.35">
      <c r="A8" s="42" t="s">
        <v>326</v>
      </c>
      <c r="B8" s="42">
        <f t="shared" si="0"/>
        <v>17</v>
      </c>
      <c r="C8" t="str">
        <f t="shared" si="1"/>
        <v>3</v>
      </c>
    </row>
    <row r="9" spans="1:3" x14ac:dyDescent="0.35">
      <c r="A9" s="42" t="s">
        <v>327</v>
      </c>
      <c r="B9" s="42">
        <f t="shared" si="0"/>
        <v>19</v>
      </c>
      <c r="C9" t="str">
        <f t="shared" si="1"/>
        <v>3</v>
      </c>
    </row>
  </sheetData>
  <mergeCells count="2">
    <mergeCell ref="A2:C2"/>
    <mergeCell ref="A1:B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dimension ref="A1:D11"/>
  <sheetViews>
    <sheetView zoomScale="84" zoomScaleNormal="160" workbookViewId="0">
      <selection activeCell="D6" sqref="D6"/>
    </sheetView>
  </sheetViews>
  <sheetFormatPr defaultRowHeight="14.5" x14ac:dyDescent="0.35"/>
  <cols>
    <col min="1" max="1" width="33.81640625" style="30" customWidth="1"/>
    <col min="2" max="2" width="12.81640625" bestFit="1" customWidth="1"/>
    <col min="4" max="4" width="6.81640625" customWidth="1"/>
    <col min="7" max="7" width="11" bestFit="1" customWidth="1"/>
  </cols>
  <sheetData>
    <row r="1" spans="1:4" ht="26.25" customHeight="1" x14ac:dyDescent="0.35">
      <c r="A1" s="77" t="s">
        <v>314</v>
      </c>
      <c r="B1" s="77"/>
    </row>
    <row r="2" spans="1:4" ht="31.5" customHeight="1" x14ac:dyDescent="0.35">
      <c r="A2" s="79" t="s">
        <v>225</v>
      </c>
      <c r="B2" s="79"/>
      <c r="C2" s="79"/>
      <c r="D2" s="79"/>
    </row>
    <row r="3" spans="1:4" ht="34.5" customHeight="1" x14ac:dyDescent="0.35">
      <c r="A3" s="79" t="s">
        <v>226</v>
      </c>
      <c r="B3" s="79"/>
      <c r="C3" s="79"/>
      <c r="D3" s="79"/>
    </row>
    <row r="4" spans="1:4" ht="34.5" customHeight="1" x14ac:dyDescent="0.35">
      <c r="A4" s="80" t="s">
        <v>227</v>
      </c>
      <c r="B4" s="80"/>
      <c r="C4" s="80"/>
      <c r="D4" s="80"/>
    </row>
    <row r="5" spans="1:4" x14ac:dyDescent="0.35">
      <c r="A5" s="47" t="s">
        <v>119</v>
      </c>
      <c r="B5" s="47" t="s">
        <v>34</v>
      </c>
      <c r="C5" s="47" t="s">
        <v>40</v>
      </c>
      <c r="D5" s="47" t="s">
        <v>50</v>
      </c>
    </row>
    <row r="6" spans="1:4" x14ac:dyDescent="0.35">
      <c r="A6" s="46" t="s">
        <v>120</v>
      </c>
      <c r="B6" s="46" t="str">
        <f>LEFT(A6,3)</f>
        <v>PRM</v>
      </c>
      <c r="C6" s="46" t="str">
        <f>MID(A6,5,2)</f>
        <v>10</v>
      </c>
      <c r="D6" s="46" t="str">
        <f>RIGHT(A6,4)</f>
        <v>4020</v>
      </c>
    </row>
    <row r="7" spans="1:4" x14ac:dyDescent="0.35">
      <c r="A7" s="46" t="s">
        <v>121</v>
      </c>
      <c r="B7" s="46" t="str">
        <f t="shared" ref="B7:B11" si="0">LEFT(A7,3)</f>
        <v>BOR</v>
      </c>
      <c r="C7" s="46" t="str">
        <f t="shared" ref="C7:C11" si="1">MID(A7,5,2)</f>
        <v>21</v>
      </c>
      <c r="D7" s="46" t="str">
        <f t="shared" ref="D7:D11" si="2">RIGHT(A7,4)</f>
        <v>8620</v>
      </c>
    </row>
    <row r="8" spans="1:4" x14ac:dyDescent="0.35">
      <c r="A8" s="46" t="s">
        <v>122</v>
      </c>
      <c r="B8" s="46" t="str">
        <f t="shared" si="0"/>
        <v>LUK</v>
      </c>
      <c r="C8" s="46" t="str">
        <f t="shared" si="1"/>
        <v>04</v>
      </c>
      <c r="D8" s="46" t="str">
        <f t="shared" si="2"/>
        <v>1580</v>
      </c>
    </row>
    <row r="9" spans="1:4" x14ac:dyDescent="0.35">
      <c r="A9" s="46" t="s">
        <v>123</v>
      </c>
      <c r="B9" s="46" t="str">
        <f t="shared" si="0"/>
        <v>BWW</v>
      </c>
      <c r="C9" s="46" t="str">
        <f t="shared" si="1"/>
        <v>BC</v>
      </c>
      <c r="D9" s="46" t="str">
        <f t="shared" si="2"/>
        <v>42TF</v>
      </c>
    </row>
    <row r="10" spans="1:4" x14ac:dyDescent="0.35">
      <c r="A10" s="46" t="s">
        <v>124</v>
      </c>
      <c r="B10" s="46" t="str">
        <f t="shared" si="0"/>
        <v>BOR</v>
      </c>
      <c r="C10" s="46" t="str">
        <f t="shared" si="1"/>
        <v>10</v>
      </c>
      <c r="D10" s="46" t="str">
        <f t="shared" si="2"/>
        <v>365B</v>
      </c>
    </row>
    <row r="11" spans="1:4" x14ac:dyDescent="0.35">
      <c r="A11" s="46" t="s">
        <v>125</v>
      </c>
      <c r="B11" s="46" t="str">
        <f t="shared" si="0"/>
        <v>BOR</v>
      </c>
      <c r="C11" s="46" t="str">
        <f t="shared" si="1"/>
        <v>21</v>
      </c>
      <c r="D11" s="46" t="str">
        <f t="shared" si="2"/>
        <v>1764</v>
      </c>
    </row>
  </sheetData>
  <mergeCells count="4">
    <mergeCell ref="A4:D4"/>
    <mergeCell ref="A3:D3"/>
    <mergeCell ref="A2:D2"/>
    <mergeCell ref="A1:B1"/>
  </mergeCell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dimension ref="A1:E18"/>
  <sheetViews>
    <sheetView zoomScale="111" zoomScaleNormal="120" workbookViewId="0">
      <selection activeCell="C4" sqref="C4"/>
    </sheetView>
  </sheetViews>
  <sheetFormatPr defaultRowHeight="14.5" x14ac:dyDescent="0.35"/>
  <cols>
    <col min="1" max="1" width="10" customWidth="1"/>
    <col min="2" max="2" width="36" bestFit="1" customWidth="1"/>
    <col min="3" max="3" width="11.26953125" bestFit="1" customWidth="1"/>
    <col min="4" max="4" width="17.26953125" customWidth="1"/>
    <col min="5" max="5" width="10.453125" bestFit="1" customWidth="1"/>
    <col min="6" max="6" width="9.1796875" customWidth="1"/>
  </cols>
  <sheetData>
    <row r="1" spans="1:5" ht="23.25" customHeight="1" x14ac:dyDescent="0.35">
      <c r="A1" s="81" t="s">
        <v>315</v>
      </c>
      <c r="B1" s="81"/>
    </row>
    <row r="3" spans="1:5" x14ac:dyDescent="0.35">
      <c r="A3" s="48" t="s">
        <v>126</v>
      </c>
      <c r="B3" s="48" t="s">
        <v>127</v>
      </c>
      <c r="C3" s="48" t="s">
        <v>128</v>
      </c>
      <c r="D3" s="31"/>
    </row>
    <row r="4" spans="1:5" x14ac:dyDescent="0.35">
      <c r="A4" s="46" t="s">
        <v>129</v>
      </c>
      <c r="B4" s="46" t="s">
        <v>155</v>
      </c>
      <c r="C4" s="49" t="str">
        <f>REPLACE(A4,1,2,"XY")</f>
        <v>XY1001</v>
      </c>
      <c r="E4" s="31"/>
    </row>
    <row r="5" spans="1:5" x14ac:dyDescent="0.35">
      <c r="A5" s="46" t="s">
        <v>130</v>
      </c>
      <c r="B5" s="46" t="s">
        <v>131</v>
      </c>
      <c r="C5" s="49" t="str">
        <f t="shared" ref="C5:C17" si="0">REPLACE(A5,1,2,"XY")</f>
        <v>XY1002</v>
      </c>
      <c r="E5" s="31"/>
    </row>
    <row r="6" spans="1:5" x14ac:dyDescent="0.35">
      <c r="A6" s="46" t="s">
        <v>132</v>
      </c>
      <c r="B6" s="46" t="s">
        <v>133</v>
      </c>
      <c r="C6" s="49" t="str">
        <f t="shared" si="0"/>
        <v>XY1003</v>
      </c>
      <c r="E6" s="31"/>
    </row>
    <row r="7" spans="1:5" x14ac:dyDescent="0.35">
      <c r="A7" s="46" t="s">
        <v>134</v>
      </c>
      <c r="B7" s="46" t="s">
        <v>135</v>
      </c>
      <c r="C7" s="49" t="str">
        <f t="shared" si="0"/>
        <v>XY1004</v>
      </c>
      <c r="E7" s="31"/>
    </row>
    <row r="8" spans="1:5" x14ac:dyDescent="0.35">
      <c r="A8" s="46" t="s">
        <v>212</v>
      </c>
      <c r="B8" s="46" t="s">
        <v>136</v>
      </c>
      <c r="C8" s="49" t="str">
        <f t="shared" si="0"/>
        <v>XYc1052</v>
      </c>
      <c r="E8" s="31"/>
    </row>
    <row r="9" spans="1:5" x14ac:dyDescent="0.35">
      <c r="A9" s="46" t="s">
        <v>137</v>
      </c>
      <c r="B9" s="46" t="s">
        <v>138</v>
      </c>
      <c r="C9" s="49" t="str">
        <f t="shared" si="0"/>
        <v>XY1053</v>
      </c>
      <c r="E9" s="31"/>
    </row>
    <row r="10" spans="1:5" x14ac:dyDescent="0.35">
      <c r="A10" s="46" t="s">
        <v>139</v>
      </c>
      <c r="B10" s="46" t="s">
        <v>140</v>
      </c>
      <c r="C10" s="49" t="str">
        <f t="shared" si="0"/>
        <v>XY1054</v>
      </c>
      <c r="E10" s="31"/>
    </row>
    <row r="11" spans="1:5" x14ac:dyDescent="0.35">
      <c r="A11" s="46" t="s">
        <v>141</v>
      </c>
      <c r="B11" s="46" t="s">
        <v>142</v>
      </c>
      <c r="C11" s="49" t="str">
        <f t="shared" si="0"/>
        <v>XY1055</v>
      </c>
      <c r="E11" s="31"/>
    </row>
    <row r="12" spans="1:5" x14ac:dyDescent="0.35">
      <c r="A12" s="46" t="s">
        <v>143</v>
      </c>
      <c r="B12" s="46" t="s">
        <v>144</v>
      </c>
      <c r="C12" s="49" t="str">
        <f t="shared" si="0"/>
        <v>XY1022</v>
      </c>
      <c r="E12" s="31"/>
    </row>
    <row r="13" spans="1:5" x14ac:dyDescent="0.35">
      <c r="A13" s="46" t="s">
        <v>145</v>
      </c>
      <c r="B13" s="46" t="s">
        <v>146</v>
      </c>
      <c r="C13" s="49" t="str">
        <f t="shared" si="0"/>
        <v>XY1023</v>
      </c>
      <c r="E13" s="31"/>
    </row>
    <row r="14" spans="1:5" x14ac:dyDescent="0.35">
      <c r="A14" s="46" t="s">
        <v>147</v>
      </c>
      <c r="B14" s="46" t="s">
        <v>148</v>
      </c>
      <c r="C14" s="49" t="str">
        <f t="shared" si="0"/>
        <v>XY1024</v>
      </c>
      <c r="E14" s="31"/>
    </row>
    <row r="15" spans="1:5" x14ac:dyDescent="0.35">
      <c r="A15" s="46" t="s">
        <v>149</v>
      </c>
      <c r="B15" s="46" t="s">
        <v>150</v>
      </c>
      <c r="C15" s="49" t="str">
        <f t="shared" si="0"/>
        <v>XY1014</v>
      </c>
      <c r="E15" s="31"/>
    </row>
    <row r="16" spans="1:5" x14ac:dyDescent="0.35">
      <c r="A16" s="46" t="s">
        <v>151</v>
      </c>
      <c r="B16" s="46" t="s">
        <v>152</v>
      </c>
      <c r="C16" s="49" t="str">
        <f t="shared" si="0"/>
        <v>XY1015</v>
      </c>
      <c r="E16" s="31"/>
    </row>
    <row r="17" spans="1:5" x14ac:dyDescent="0.35">
      <c r="A17" s="46" t="s">
        <v>153</v>
      </c>
      <c r="B17" s="46" t="s">
        <v>154</v>
      </c>
      <c r="C17" s="49" t="str">
        <f t="shared" si="0"/>
        <v>XY1045</v>
      </c>
      <c r="E17" s="31"/>
    </row>
    <row r="18" spans="1:5" x14ac:dyDescent="0.35">
      <c r="A18" s="32"/>
    </row>
  </sheetData>
  <mergeCells count="1">
    <mergeCell ref="A1:B1"/>
  </mergeCell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7"/>
  <dimension ref="A1:D25"/>
  <sheetViews>
    <sheetView zoomScale="73" zoomScaleNormal="160" workbookViewId="0">
      <selection activeCell="C17" sqref="C17"/>
    </sheetView>
  </sheetViews>
  <sheetFormatPr defaultRowHeight="14.5" x14ac:dyDescent="0.35"/>
  <cols>
    <col min="1" max="1" width="72" bestFit="1" customWidth="1"/>
    <col min="2" max="2" width="47.26953125" bestFit="1" customWidth="1"/>
    <col min="3" max="3" width="33.26953125" style="73" customWidth="1"/>
  </cols>
  <sheetData>
    <row r="1" spans="1:4" ht="23.5" x14ac:dyDescent="0.35">
      <c r="A1" s="62" t="s">
        <v>317</v>
      </c>
    </row>
    <row r="3" spans="1:4" x14ac:dyDescent="0.35">
      <c r="A3" s="29" t="s">
        <v>228</v>
      </c>
    </row>
    <row r="5" spans="1:4" x14ac:dyDescent="0.35">
      <c r="A5" t="s">
        <v>323</v>
      </c>
      <c r="B5" t="str">
        <f>SUBSTITUTE(A5,"2010","2019")</f>
        <v>Excel 2019 and Word 2019, Powerpoint 2019</v>
      </c>
      <c r="D5" s="67" t="str">
        <f>SUBSTITUTE(A7,"Excel","Powerbi")</f>
        <v>Powerbi 2010, Word 2010, PowerPoint 2010, Outlook 2010</v>
      </c>
    </row>
    <row r="6" spans="1:4" x14ac:dyDescent="0.35">
      <c r="A6" t="s">
        <v>156</v>
      </c>
      <c r="B6" t="str">
        <f t="shared" ref="B6:B7" si="0">SUBSTITUTE(A6,"2010","2019")</f>
        <v>Excel 2019 and Word 2019</v>
      </c>
      <c r="D6" s="67"/>
    </row>
    <row r="7" spans="1:4" x14ac:dyDescent="0.35">
      <c r="A7" t="s">
        <v>324</v>
      </c>
      <c r="B7" t="str">
        <f t="shared" si="0"/>
        <v>Excel 2019, Word 2019, PowerPoint 2019, Outlook 2019</v>
      </c>
      <c r="D7" s="67"/>
    </row>
    <row r="9" spans="1:4" x14ac:dyDescent="0.35">
      <c r="A9" s="29" t="s">
        <v>229</v>
      </c>
    </row>
    <row r="11" spans="1:4" x14ac:dyDescent="0.35">
      <c r="A11" t="s">
        <v>157</v>
      </c>
      <c r="B11" s="71" t="str">
        <f>REPLACE(A11,1,3,"men")</f>
        <v>men250</v>
      </c>
    </row>
    <row r="12" spans="1:4" x14ac:dyDescent="0.35">
      <c r="A12" t="s">
        <v>158</v>
      </c>
      <c r="B12" s="71" t="str">
        <f t="shared" ref="B12:B17" si="1">REPLACE(A12,1,3,"men")</f>
        <v>men980</v>
      </c>
    </row>
    <row r="13" spans="1:4" x14ac:dyDescent="0.35">
      <c r="A13" t="s">
        <v>159</v>
      </c>
      <c r="B13" s="71" t="str">
        <f t="shared" si="1"/>
        <v>men879</v>
      </c>
    </row>
    <row r="14" spans="1:4" x14ac:dyDescent="0.35">
      <c r="A14" t="s">
        <v>160</v>
      </c>
      <c r="B14" s="71" t="str">
        <f t="shared" si="1"/>
        <v>men421</v>
      </c>
    </row>
    <row r="15" spans="1:4" x14ac:dyDescent="0.35">
      <c r="A15" t="s">
        <v>161</v>
      </c>
      <c r="B15" s="71" t="str">
        <f t="shared" si="1"/>
        <v>men333</v>
      </c>
    </row>
    <row r="16" spans="1:4" x14ac:dyDescent="0.35">
      <c r="B16" s="71"/>
    </row>
    <row r="17" spans="1:2" x14ac:dyDescent="0.35">
      <c r="A17" s="50"/>
      <c r="B17" s="71"/>
    </row>
    <row r="18" spans="1:2" x14ac:dyDescent="0.35">
      <c r="B18" s="67" t="str">
        <f>SUBSTITUTE(A18,"data","D",1)</f>
        <v/>
      </c>
    </row>
    <row r="19" spans="1:2" x14ac:dyDescent="0.35">
      <c r="B19" s="67" t="str">
        <f>SUBSTITUTE(A19,"data","D",2)</f>
        <v/>
      </c>
    </row>
    <row r="20" spans="1:2" x14ac:dyDescent="0.35">
      <c r="B20" s="67" t="str">
        <f>SUBSTITUTE(A20,"Data","D",1)</f>
        <v/>
      </c>
    </row>
    <row r="23" spans="1:2" x14ac:dyDescent="0.35">
      <c r="A23" s="34"/>
    </row>
    <row r="24" spans="1:2" x14ac:dyDescent="0.35">
      <c r="A24" s="34"/>
    </row>
    <row r="25" spans="1:2" x14ac:dyDescent="0.35">
      <c r="A25" s="34"/>
    </row>
  </sheetData>
  <pageMargins left="0.7" right="0.7" top="0.75" bottom="0.75" header="0.3" footer="0.3"/>
  <pageSetup paperSize="9" orientation="portrait" horizontalDpi="300" verticalDpi="3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8"/>
  <dimension ref="A1:D8"/>
  <sheetViews>
    <sheetView topLeftCell="A2" zoomScale="80" zoomScaleNormal="80" workbookViewId="0">
      <selection activeCell="D10" sqref="D10"/>
    </sheetView>
  </sheetViews>
  <sheetFormatPr defaultRowHeight="14.5" x14ac:dyDescent="0.35"/>
  <cols>
    <col min="1" max="1" width="12.7265625" customWidth="1"/>
    <col min="2" max="2" width="83.7265625" style="51" customWidth="1"/>
    <col min="3" max="3" width="52.54296875" bestFit="1" customWidth="1"/>
    <col min="4" max="4" width="255.54296875" customWidth="1"/>
  </cols>
  <sheetData>
    <row r="1" spans="1:4" ht="36.75" customHeight="1" x14ac:dyDescent="0.35">
      <c r="A1" s="83" t="s">
        <v>316</v>
      </c>
      <c r="B1" s="84"/>
    </row>
    <row r="2" spans="1:4" ht="75" customHeight="1" x14ac:dyDescent="0.35">
      <c r="A2" s="82" t="s">
        <v>230</v>
      </c>
      <c r="B2" s="82"/>
      <c r="C2" s="30"/>
      <c r="D2" s="30" t="str">
        <f>PROPER(B2)</f>
        <v/>
      </c>
    </row>
    <row r="3" spans="1:4" ht="99" customHeight="1" x14ac:dyDescent="0.35">
      <c r="A3" s="52" t="s">
        <v>162</v>
      </c>
      <c r="B3" s="53" t="str">
        <f>LOWER(A2)</f>
        <v xml:space="preserve">get simple, powerful tips for making spreadsheet information readable and understandable in excel 2013. dennis taylor shows how to emphasize specific cells with fonts, borders, and color; adjust the positioning of cell contents; format numeric data; and add style and readability to worksheets. </v>
      </c>
      <c r="D3" s="53" t="str">
        <f>LOWER(B3)</f>
        <v xml:space="preserve">get simple, powerful tips for making spreadsheet information readable and understandable in excel 2013. dennis taylor shows how to emphasize specific cells with fonts, borders, and color; adjust the positioning of cell contents; format numeric data; and add style and readability to worksheets. </v>
      </c>
    </row>
    <row r="4" spans="1:4" ht="18.5" x14ac:dyDescent="0.35">
      <c r="A4" s="33"/>
    </row>
    <row r="5" spans="1:4" ht="61.15" customHeight="1" x14ac:dyDescent="0.35">
      <c r="A5" s="52" t="s">
        <v>163</v>
      </c>
      <c r="B5" s="53" t="str">
        <f>UPPER(A2)</f>
        <v xml:space="preserve">GET SIMPLE, POWERFUL TIPS FOR MAKING SPREADSHEET INFORMATION READABLE AND UNDERSTANDABLE IN EXCEL 2013. DENNIS TAYLOR SHOWS HOW TO EMPHASIZE SPECIFIC CELLS WITH FONTS, BORDERS, AND COLOR; ADJUST THE POSITIONING OF CELL CONTENTS; FORMAT NUMERIC DATA; AND ADD STYLE AND READABILITY TO WORKSHEETS. </v>
      </c>
      <c r="D5" s="88" t="str">
        <f>UPPER(B5)</f>
        <v xml:space="preserve">GET SIMPLE, POWERFUL TIPS FOR MAKING SPREADSHEET INFORMATION READABLE AND UNDERSTANDABLE IN EXCEL 2013. DENNIS TAYLOR SHOWS HOW TO EMPHASIZE SPECIFIC CELLS WITH FONTS, BORDERS, AND COLOR; ADJUST THE POSITIONING OF CELL CONTENTS; FORMAT NUMERIC DATA; AND ADD STYLE AND READABILITY TO WORKSHEETS. </v>
      </c>
    </row>
    <row r="6" spans="1:4" ht="18.5" x14ac:dyDescent="0.35">
      <c r="A6" s="33"/>
      <c r="D6" s="86"/>
    </row>
    <row r="7" spans="1:4" ht="101.25" customHeight="1" x14ac:dyDescent="0.35">
      <c r="A7" s="52" t="s">
        <v>164</v>
      </c>
      <c r="B7" s="53" t="str">
        <f>PROPER(A2)</f>
        <v xml:space="preserve">Get Simple, Powerful Tips For Making Spreadsheet Information Readable And Understandable In Excel 2013. Dennis Taylor Shows How To Emphasize Specific Cells With Fonts, Borders, And Color; Adjust The Positioning Of Cell Contents; Format Numeric Data; And Add Style And Readability To Worksheets. </v>
      </c>
      <c r="D7" s="88" t="str">
        <f>PROPER(B7)</f>
        <v xml:space="preserve">Get Simple, Powerful Tips For Making Spreadsheet Information Readable And Understandable In Excel 2013. Dennis Taylor Shows How To Emphasize Specific Cells With Fonts, Borders, And Color; Adjust The Positioning Of Cell Contents; Format Numeric Data; And Add Style And Readability To Worksheets. </v>
      </c>
    </row>
    <row r="8" spans="1:4" x14ac:dyDescent="0.35">
      <c r="D8" s="87"/>
    </row>
  </sheetData>
  <mergeCells count="2">
    <mergeCell ref="A2:B2"/>
    <mergeCell ref="A1:B1"/>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D12"/>
  <sheetViews>
    <sheetView zoomScale="124" zoomScaleNormal="150" workbookViewId="0">
      <selection activeCell="A12" sqref="A12:B12"/>
    </sheetView>
  </sheetViews>
  <sheetFormatPr defaultRowHeight="14.5" x14ac:dyDescent="0.35"/>
  <cols>
    <col min="1" max="2" width="19.1796875" bestFit="1" customWidth="1"/>
    <col min="3" max="3" width="14.54296875" bestFit="1" customWidth="1"/>
    <col min="4" max="4" width="7.81640625" bestFit="1" customWidth="1"/>
  </cols>
  <sheetData>
    <row r="1" spans="1:4" ht="23.5" x14ac:dyDescent="0.35">
      <c r="A1" s="77" t="s">
        <v>231</v>
      </c>
      <c r="B1" s="77"/>
    </row>
    <row r="2" spans="1:4" x14ac:dyDescent="0.35">
      <c r="A2" t="s">
        <v>213</v>
      </c>
      <c r="B2" t="s">
        <v>213</v>
      </c>
      <c r="C2" t="b">
        <f>EXACT(A2,B2)</f>
        <v>1</v>
      </c>
      <c r="D2" t="b">
        <f>A2=B2</f>
        <v>1</v>
      </c>
    </row>
    <row r="3" spans="1:4" x14ac:dyDescent="0.35">
      <c r="A3" t="s">
        <v>214</v>
      </c>
      <c r="B3" t="s">
        <v>219</v>
      </c>
      <c r="C3" t="b">
        <f>EXACT(A3,B3)</f>
        <v>0</v>
      </c>
      <c r="D3" t="b">
        <f t="shared" ref="D3:D7" si="0">A3=B3</f>
        <v>1</v>
      </c>
    </row>
    <row r="4" spans="1:4" x14ac:dyDescent="0.35">
      <c r="A4" t="s">
        <v>215</v>
      </c>
      <c r="B4" t="s">
        <v>220</v>
      </c>
      <c r="C4" t="b">
        <f t="shared" ref="C3:C7" si="1">EXACT(A4,B4)</f>
        <v>0</v>
      </c>
      <c r="D4" t="b">
        <f t="shared" si="0"/>
        <v>0</v>
      </c>
    </row>
    <row r="5" spans="1:4" x14ac:dyDescent="0.35">
      <c r="A5" t="s">
        <v>216</v>
      </c>
      <c r="B5" t="s">
        <v>216</v>
      </c>
      <c r="C5" t="b">
        <f t="shared" si="1"/>
        <v>1</v>
      </c>
      <c r="D5" t="b">
        <f t="shared" si="0"/>
        <v>1</v>
      </c>
    </row>
    <row r="6" spans="1:4" x14ac:dyDescent="0.35">
      <c r="A6" t="s">
        <v>217</v>
      </c>
      <c r="B6" t="s">
        <v>221</v>
      </c>
      <c r="C6" t="b">
        <f t="shared" si="1"/>
        <v>0</v>
      </c>
      <c r="D6" t="b">
        <f t="shared" si="0"/>
        <v>0</v>
      </c>
    </row>
    <row r="7" spans="1:4" x14ac:dyDescent="0.35">
      <c r="A7" t="s">
        <v>218</v>
      </c>
      <c r="B7" t="s">
        <v>218</v>
      </c>
      <c r="C7" t="b">
        <f t="shared" si="1"/>
        <v>1</v>
      </c>
      <c r="D7" t="b">
        <f t="shared" si="0"/>
        <v>1</v>
      </c>
    </row>
    <row r="11" spans="1:4" x14ac:dyDescent="0.35">
      <c r="A11" s="85" t="s">
        <v>222</v>
      </c>
      <c r="B11" s="85"/>
    </row>
    <row r="12" spans="1:4" x14ac:dyDescent="0.35">
      <c r="A12" s="85" t="s">
        <v>322</v>
      </c>
      <c r="B12" s="85"/>
    </row>
  </sheetData>
  <mergeCells count="3">
    <mergeCell ref="A11:B11"/>
    <mergeCell ref="A12:B12"/>
    <mergeCell ref="A1:B1"/>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D8"/>
  <sheetViews>
    <sheetView zoomScale="64" zoomScaleNormal="130" workbookViewId="0">
      <selection activeCell="C6" sqref="C6"/>
    </sheetView>
  </sheetViews>
  <sheetFormatPr defaultRowHeight="14.5" x14ac:dyDescent="0.35"/>
  <cols>
    <col min="1" max="1" width="36.7265625" bestFit="1" customWidth="1"/>
    <col min="2" max="2" width="11.26953125" bestFit="1" customWidth="1"/>
    <col min="3" max="3" width="32.90625" bestFit="1" customWidth="1"/>
    <col min="4" max="4" width="11.1796875" bestFit="1" customWidth="1"/>
    <col min="5" max="5" width="17.81640625" customWidth="1"/>
    <col min="6" max="6" width="68.453125" bestFit="1" customWidth="1"/>
    <col min="7" max="7" width="68.7265625" bestFit="1" customWidth="1"/>
    <col min="8" max="8" width="23.7265625" bestFit="1" customWidth="1"/>
  </cols>
  <sheetData>
    <row r="1" spans="1:4" ht="23.5" x14ac:dyDescent="0.35">
      <c r="A1" s="77" t="s">
        <v>232</v>
      </c>
      <c r="B1" s="77"/>
    </row>
    <row r="3" spans="1:4" x14ac:dyDescent="0.35">
      <c r="B3" s="56"/>
      <c r="C3" s="45"/>
      <c r="D3" s="45"/>
    </row>
    <row r="4" spans="1:4" x14ac:dyDescent="0.35">
      <c r="A4" s="70" t="s">
        <v>233</v>
      </c>
      <c r="B4" s="54">
        <f>LEN(A4)</f>
        <v>48</v>
      </c>
      <c r="C4" s="55" t="str">
        <f>TRIM(A4)</f>
        <v>Secrets of the millionaire mind Secrets</v>
      </c>
      <c r="D4" s="55">
        <f>LEN(C4)</f>
        <v>39</v>
      </c>
    </row>
    <row r="5" spans="1:4" x14ac:dyDescent="0.35">
      <c r="A5" s="70" t="s">
        <v>234</v>
      </c>
      <c r="B5" s="54">
        <f t="shared" ref="B5:B8" si="0">LEN(A5)</f>
        <v>20</v>
      </c>
      <c r="C5" s="55" t="str">
        <f t="shared" ref="C5:C8" si="1">TRIM(A5)</f>
        <v>Trusted advisor</v>
      </c>
      <c r="D5" s="55">
        <f t="shared" ref="D5:D8" si="2">LEN(C5)</f>
        <v>15</v>
      </c>
    </row>
    <row r="6" spans="1:4" x14ac:dyDescent="0.35">
      <c r="A6" s="70" t="s">
        <v>235</v>
      </c>
      <c r="B6" s="54">
        <f t="shared" si="0"/>
        <v>16</v>
      </c>
      <c r="C6" s="55" t="str">
        <f t="shared" si="1"/>
        <v>Sound business</v>
      </c>
      <c r="D6" s="55">
        <f t="shared" si="2"/>
        <v>14</v>
      </c>
    </row>
    <row r="7" spans="1:4" x14ac:dyDescent="0.35">
      <c r="A7" s="70" t="s">
        <v>236</v>
      </c>
      <c r="B7" s="54">
        <f t="shared" si="0"/>
        <v>21</v>
      </c>
      <c r="C7" s="55" t="str">
        <f t="shared" si="1"/>
        <v>Equity management</v>
      </c>
      <c r="D7" s="55">
        <f t="shared" si="2"/>
        <v>17</v>
      </c>
    </row>
    <row r="8" spans="1:4" x14ac:dyDescent="0.35">
      <c r="A8" s="70" t="s">
        <v>237</v>
      </c>
      <c r="B8" s="54">
        <f t="shared" si="0"/>
        <v>28</v>
      </c>
      <c r="C8" s="55" t="str">
        <f t="shared" si="1"/>
        <v>Greatest man I never met</v>
      </c>
      <c r="D8" s="55">
        <f t="shared" si="2"/>
        <v>24</v>
      </c>
    </row>
  </sheetData>
  <mergeCells count="1">
    <mergeCell ref="A1:B1"/>
  </mergeCells>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FFFF00"/>
  </sheetPr>
  <dimension ref="A1:G45"/>
  <sheetViews>
    <sheetView showGridLines="0" tabSelected="1" topLeftCell="A2" zoomScale="94" zoomScaleNormal="100" workbookViewId="0">
      <selection activeCell="G4" sqref="G4"/>
    </sheetView>
  </sheetViews>
  <sheetFormatPr defaultRowHeight="14.5" x14ac:dyDescent="0.35"/>
  <cols>
    <col min="1" max="1" width="24.81640625" bestFit="1" customWidth="1"/>
    <col min="2" max="2" width="25" customWidth="1"/>
    <col min="3" max="3" width="12.7265625" customWidth="1"/>
    <col min="4" max="4" width="18" customWidth="1"/>
    <col min="5" max="6" width="16.453125" customWidth="1"/>
    <col min="7" max="7" width="64" customWidth="1"/>
    <col min="257" max="257" width="4.453125" customWidth="1"/>
    <col min="258" max="258" width="25" customWidth="1"/>
    <col min="259" max="259" width="12.7265625" customWidth="1"/>
    <col min="260" max="260" width="18" customWidth="1"/>
    <col min="261" max="263" width="16.453125" customWidth="1"/>
    <col min="513" max="513" width="4.453125" customWidth="1"/>
    <col min="514" max="514" width="25" customWidth="1"/>
    <col min="515" max="515" width="12.7265625" customWidth="1"/>
    <col min="516" max="516" width="18" customWidth="1"/>
    <col min="517" max="519" width="16.453125" customWidth="1"/>
    <col min="769" max="769" width="4.453125" customWidth="1"/>
    <col min="770" max="770" width="25" customWidth="1"/>
    <col min="771" max="771" width="12.7265625" customWidth="1"/>
    <col min="772" max="772" width="18" customWidth="1"/>
    <col min="773" max="775" width="16.453125" customWidth="1"/>
    <col min="1025" max="1025" width="4.453125" customWidth="1"/>
    <col min="1026" max="1026" width="25" customWidth="1"/>
    <col min="1027" max="1027" width="12.7265625" customWidth="1"/>
    <col min="1028" max="1028" width="18" customWidth="1"/>
    <col min="1029" max="1031" width="16.453125" customWidth="1"/>
    <col min="1281" max="1281" width="4.453125" customWidth="1"/>
    <col min="1282" max="1282" width="25" customWidth="1"/>
    <col min="1283" max="1283" width="12.7265625" customWidth="1"/>
    <col min="1284" max="1284" width="18" customWidth="1"/>
    <col min="1285" max="1287" width="16.453125" customWidth="1"/>
    <col min="1537" max="1537" width="4.453125" customWidth="1"/>
    <col min="1538" max="1538" width="25" customWidth="1"/>
    <col min="1539" max="1539" width="12.7265625" customWidth="1"/>
    <col min="1540" max="1540" width="18" customWidth="1"/>
    <col min="1541" max="1543" width="16.453125" customWidth="1"/>
    <col min="1793" max="1793" width="4.453125" customWidth="1"/>
    <col min="1794" max="1794" width="25" customWidth="1"/>
    <col min="1795" max="1795" width="12.7265625" customWidth="1"/>
    <col min="1796" max="1796" width="18" customWidth="1"/>
    <col min="1797" max="1799" width="16.453125" customWidth="1"/>
    <col min="2049" max="2049" width="4.453125" customWidth="1"/>
    <col min="2050" max="2050" width="25" customWidth="1"/>
    <col min="2051" max="2051" width="12.7265625" customWidth="1"/>
    <col min="2052" max="2052" width="18" customWidth="1"/>
    <col min="2053" max="2055" width="16.453125" customWidth="1"/>
    <col min="2305" max="2305" width="4.453125" customWidth="1"/>
    <col min="2306" max="2306" width="25" customWidth="1"/>
    <col min="2307" max="2307" width="12.7265625" customWidth="1"/>
    <col min="2308" max="2308" width="18" customWidth="1"/>
    <col min="2309" max="2311" width="16.453125" customWidth="1"/>
    <col min="2561" max="2561" width="4.453125" customWidth="1"/>
    <col min="2562" max="2562" width="25" customWidth="1"/>
    <col min="2563" max="2563" width="12.7265625" customWidth="1"/>
    <col min="2564" max="2564" width="18" customWidth="1"/>
    <col min="2565" max="2567" width="16.453125" customWidth="1"/>
    <col min="2817" max="2817" width="4.453125" customWidth="1"/>
    <col min="2818" max="2818" width="25" customWidth="1"/>
    <col min="2819" max="2819" width="12.7265625" customWidth="1"/>
    <col min="2820" max="2820" width="18" customWidth="1"/>
    <col min="2821" max="2823" width="16.453125" customWidth="1"/>
    <col min="3073" max="3073" width="4.453125" customWidth="1"/>
    <col min="3074" max="3074" width="25" customWidth="1"/>
    <col min="3075" max="3075" width="12.7265625" customWidth="1"/>
    <col min="3076" max="3076" width="18" customWidth="1"/>
    <col min="3077" max="3079" width="16.453125" customWidth="1"/>
    <col min="3329" max="3329" width="4.453125" customWidth="1"/>
    <col min="3330" max="3330" width="25" customWidth="1"/>
    <col min="3331" max="3331" width="12.7265625" customWidth="1"/>
    <col min="3332" max="3332" width="18" customWidth="1"/>
    <col min="3333" max="3335" width="16.453125" customWidth="1"/>
    <col min="3585" max="3585" width="4.453125" customWidth="1"/>
    <col min="3586" max="3586" width="25" customWidth="1"/>
    <col min="3587" max="3587" width="12.7265625" customWidth="1"/>
    <col min="3588" max="3588" width="18" customWidth="1"/>
    <col min="3589" max="3591" width="16.453125" customWidth="1"/>
    <col min="3841" max="3841" width="4.453125" customWidth="1"/>
    <col min="3842" max="3842" width="25" customWidth="1"/>
    <col min="3843" max="3843" width="12.7265625" customWidth="1"/>
    <col min="3844" max="3844" width="18" customWidth="1"/>
    <col min="3845" max="3847" width="16.453125" customWidth="1"/>
    <col min="4097" max="4097" width="4.453125" customWidth="1"/>
    <col min="4098" max="4098" width="25" customWidth="1"/>
    <col min="4099" max="4099" width="12.7265625" customWidth="1"/>
    <col min="4100" max="4100" width="18" customWidth="1"/>
    <col min="4101" max="4103" width="16.453125" customWidth="1"/>
    <col min="4353" max="4353" width="4.453125" customWidth="1"/>
    <col min="4354" max="4354" width="25" customWidth="1"/>
    <col min="4355" max="4355" width="12.7265625" customWidth="1"/>
    <col min="4356" max="4356" width="18" customWidth="1"/>
    <col min="4357" max="4359" width="16.453125" customWidth="1"/>
    <col min="4609" max="4609" width="4.453125" customWidth="1"/>
    <col min="4610" max="4610" width="25" customWidth="1"/>
    <col min="4611" max="4611" width="12.7265625" customWidth="1"/>
    <col min="4612" max="4612" width="18" customWidth="1"/>
    <col min="4613" max="4615" width="16.453125" customWidth="1"/>
    <col min="4865" max="4865" width="4.453125" customWidth="1"/>
    <col min="4866" max="4866" width="25" customWidth="1"/>
    <col min="4867" max="4867" width="12.7265625" customWidth="1"/>
    <col min="4868" max="4868" width="18" customWidth="1"/>
    <col min="4869" max="4871" width="16.453125" customWidth="1"/>
    <col min="5121" max="5121" width="4.453125" customWidth="1"/>
    <col min="5122" max="5122" width="25" customWidth="1"/>
    <col min="5123" max="5123" width="12.7265625" customWidth="1"/>
    <col min="5124" max="5124" width="18" customWidth="1"/>
    <col min="5125" max="5127" width="16.453125" customWidth="1"/>
    <col min="5377" max="5377" width="4.453125" customWidth="1"/>
    <col min="5378" max="5378" width="25" customWidth="1"/>
    <col min="5379" max="5379" width="12.7265625" customWidth="1"/>
    <col min="5380" max="5380" width="18" customWidth="1"/>
    <col min="5381" max="5383" width="16.453125" customWidth="1"/>
    <col min="5633" max="5633" width="4.453125" customWidth="1"/>
    <col min="5634" max="5634" width="25" customWidth="1"/>
    <col min="5635" max="5635" width="12.7265625" customWidth="1"/>
    <col min="5636" max="5636" width="18" customWidth="1"/>
    <col min="5637" max="5639" width="16.453125" customWidth="1"/>
    <col min="5889" max="5889" width="4.453125" customWidth="1"/>
    <col min="5890" max="5890" width="25" customWidth="1"/>
    <col min="5891" max="5891" width="12.7265625" customWidth="1"/>
    <col min="5892" max="5892" width="18" customWidth="1"/>
    <col min="5893" max="5895" width="16.453125" customWidth="1"/>
    <col min="6145" max="6145" width="4.453125" customWidth="1"/>
    <col min="6146" max="6146" width="25" customWidth="1"/>
    <col min="6147" max="6147" width="12.7265625" customWidth="1"/>
    <col min="6148" max="6148" width="18" customWidth="1"/>
    <col min="6149" max="6151" width="16.453125" customWidth="1"/>
    <col min="6401" max="6401" width="4.453125" customWidth="1"/>
    <col min="6402" max="6402" width="25" customWidth="1"/>
    <col min="6403" max="6403" width="12.7265625" customWidth="1"/>
    <col min="6404" max="6404" width="18" customWidth="1"/>
    <col min="6405" max="6407" width="16.453125" customWidth="1"/>
    <col min="6657" max="6657" width="4.453125" customWidth="1"/>
    <col min="6658" max="6658" width="25" customWidth="1"/>
    <col min="6659" max="6659" width="12.7265625" customWidth="1"/>
    <col min="6660" max="6660" width="18" customWidth="1"/>
    <col min="6661" max="6663" width="16.453125" customWidth="1"/>
    <col min="6913" max="6913" width="4.453125" customWidth="1"/>
    <col min="6914" max="6914" width="25" customWidth="1"/>
    <col min="6915" max="6915" width="12.7265625" customWidth="1"/>
    <col min="6916" max="6916" width="18" customWidth="1"/>
    <col min="6917" max="6919" width="16.453125" customWidth="1"/>
    <col min="7169" max="7169" width="4.453125" customWidth="1"/>
    <col min="7170" max="7170" width="25" customWidth="1"/>
    <col min="7171" max="7171" width="12.7265625" customWidth="1"/>
    <col min="7172" max="7172" width="18" customWidth="1"/>
    <col min="7173" max="7175" width="16.453125" customWidth="1"/>
    <col min="7425" max="7425" width="4.453125" customWidth="1"/>
    <col min="7426" max="7426" width="25" customWidth="1"/>
    <col min="7427" max="7427" width="12.7265625" customWidth="1"/>
    <col min="7428" max="7428" width="18" customWidth="1"/>
    <col min="7429" max="7431" width="16.453125" customWidth="1"/>
    <col min="7681" max="7681" width="4.453125" customWidth="1"/>
    <col min="7682" max="7682" width="25" customWidth="1"/>
    <col min="7683" max="7683" width="12.7265625" customWidth="1"/>
    <col min="7684" max="7684" width="18" customWidth="1"/>
    <col min="7685" max="7687" width="16.453125" customWidth="1"/>
    <col min="7937" max="7937" width="4.453125" customWidth="1"/>
    <col min="7938" max="7938" width="25" customWidth="1"/>
    <col min="7939" max="7939" width="12.7265625" customWidth="1"/>
    <col min="7940" max="7940" width="18" customWidth="1"/>
    <col min="7941" max="7943" width="16.453125" customWidth="1"/>
    <col min="8193" max="8193" width="4.453125" customWidth="1"/>
    <col min="8194" max="8194" width="25" customWidth="1"/>
    <col min="8195" max="8195" width="12.7265625" customWidth="1"/>
    <col min="8196" max="8196" width="18" customWidth="1"/>
    <col min="8197" max="8199" width="16.453125" customWidth="1"/>
    <col min="8449" max="8449" width="4.453125" customWidth="1"/>
    <col min="8450" max="8450" width="25" customWidth="1"/>
    <col min="8451" max="8451" width="12.7265625" customWidth="1"/>
    <col min="8452" max="8452" width="18" customWidth="1"/>
    <col min="8453" max="8455" width="16.453125" customWidth="1"/>
    <col min="8705" max="8705" width="4.453125" customWidth="1"/>
    <col min="8706" max="8706" width="25" customWidth="1"/>
    <col min="8707" max="8707" width="12.7265625" customWidth="1"/>
    <col min="8708" max="8708" width="18" customWidth="1"/>
    <col min="8709" max="8711" width="16.453125" customWidth="1"/>
    <col min="8961" max="8961" width="4.453125" customWidth="1"/>
    <col min="8962" max="8962" width="25" customWidth="1"/>
    <col min="8963" max="8963" width="12.7265625" customWidth="1"/>
    <col min="8964" max="8964" width="18" customWidth="1"/>
    <col min="8965" max="8967" width="16.453125" customWidth="1"/>
    <col min="9217" max="9217" width="4.453125" customWidth="1"/>
    <col min="9218" max="9218" width="25" customWidth="1"/>
    <col min="9219" max="9219" width="12.7265625" customWidth="1"/>
    <col min="9220" max="9220" width="18" customWidth="1"/>
    <col min="9221" max="9223" width="16.453125" customWidth="1"/>
    <col min="9473" max="9473" width="4.453125" customWidth="1"/>
    <col min="9474" max="9474" width="25" customWidth="1"/>
    <col min="9475" max="9475" width="12.7265625" customWidth="1"/>
    <col min="9476" max="9476" width="18" customWidth="1"/>
    <col min="9477" max="9479" width="16.453125" customWidth="1"/>
    <col min="9729" max="9729" width="4.453125" customWidth="1"/>
    <col min="9730" max="9730" width="25" customWidth="1"/>
    <col min="9731" max="9731" width="12.7265625" customWidth="1"/>
    <col min="9732" max="9732" width="18" customWidth="1"/>
    <col min="9733" max="9735" width="16.453125" customWidth="1"/>
    <col min="9985" max="9985" width="4.453125" customWidth="1"/>
    <col min="9986" max="9986" width="25" customWidth="1"/>
    <col min="9987" max="9987" width="12.7265625" customWidth="1"/>
    <col min="9988" max="9988" width="18" customWidth="1"/>
    <col min="9989" max="9991" width="16.453125" customWidth="1"/>
    <col min="10241" max="10241" width="4.453125" customWidth="1"/>
    <col min="10242" max="10242" width="25" customWidth="1"/>
    <col min="10243" max="10243" width="12.7265625" customWidth="1"/>
    <col min="10244" max="10244" width="18" customWidth="1"/>
    <col min="10245" max="10247" width="16.453125" customWidth="1"/>
    <col min="10497" max="10497" width="4.453125" customWidth="1"/>
    <col min="10498" max="10498" width="25" customWidth="1"/>
    <col min="10499" max="10499" width="12.7265625" customWidth="1"/>
    <col min="10500" max="10500" width="18" customWidth="1"/>
    <col min="10501" max="10503" width="16.453125" customWidth="1"/>
    <col min="10753" max="10753" width="4.453125" customWidth="1"/>
    <col min="10754" max="10754" width="25" customWidth="1"/>
    <col min="10755" max="10755" width="12.7265625" customWidth="1"/>
    <col min="10756" max="10756" width="18" customWidth="1"/>
    <col min="10757" max="10759" width="16.453125" customWidth="1"/>
    <col min="11009" max="11009" width="4.453125" customWidth="1"/>
    <col min="11010" max="11010" width="25" customWidth="1"/>
    <col min="11011" max="11011" width="12.7265625" customWidth="1"/>
    <col min="11012" max="11012" width="18" customWidth="1"/>
    <col min="11013" max="11015" width="16.453125" customWidth="1"/>
    <col min="11265" max="11265" width="4.453125" customWidth="1"/>
    <col min="11266" max="11266" width="25" customWidth="1"/>
    <col min="11267" max="11267" width="12.7265625" customWidth="1"/>
    <col min="11268" max="11268" width="18" customWidth="1"/>
    <col min="11269" max="11271" width="16.453125" customWidth="1"/>
    <col min="11521" max="11521" width="4.453125" customWidth="1"/>
    <col min="11522" max="11522" width="25" customWidth="1"/>
    <col min="11523" max="11523" width="12.7265625" customWidth="1"/>
    <col min="11524" max="11524" width="18" customWidth="1"/>
    <col min="11525" max="11527" width="16.453125" customWidth="1"/>
    <col min="11777" max="11777" width="4.453125" customWidth="1"/>
    <col min="11778" max="11778" width="25" customWidth="1"/>
    <col min="11779" max="11779" width="12.7265625" customWidth="1"/>
    <col min="11780" max="11780" width="18" customWidth="1"/>
    <col min="11781" max="11783" width="16.453125" customWidth="1"/>
    <col min="12033" max="12033" width="4.453125" customWidth="1"/>
    <col min="12034" max="12034" width="25" customWidth="1"/>
    <col min="12035" max="12035" width="12.7265625" customWidth="1"/>
    <col min="12036" max="12036" width="18" customWidth="1"/>
    <col min="12037" max="12039" width="16.453125" customWidth="1"/>
    <col min="12289" max="12289" width="4.453125" customWidth="1"/>
    <col min="12290" max="12290" width="25" customWidth="1"/>
    <col min="12291" max="12291" width="12.7265625" customWidth="1"/>
    <col min="12292" max="12292" width="18" customWidth="1"/>
    <col min="12293" max="12295" width="16.453125" customWidth="1"/>
    <col min="12545" max="12545" width="4.453125" customWidth="1"/>
    <col min="12546" max="12546" width="25" customWidth="1"/>
    <col min="12547" max="12547" width="12.7265625" customWidth="1"/>
    <col min="12548" max="12548" width="18" customWidth="1"/>
    <col min="12549" max="12551" width="16.453125" customWidth="1"/>
    <col min="12801" max="12801" width="4.453125" customWidth="1"/>
    <col min="12802" max="12802" width="25" customWidth="1"/>
    <col min="12803" max="12803" width="12.7265625" customWidth="1"/>
    <col min="12804" max="12804" width="18" customWidth="1"/>
    <col min="12805" max="12807" width="16.453125" customWidth="1"/>
    <col min="13057" max="13057" width="4.453125" customWidth="1"/>
    <col min="13058" max="13058" width="25" customWidth="1"/>
    <col min="13059" max="13059" width="12.7265625" customWidth="1"/>
    <col min="13060" max="13060" width="18" customWidth="1"/>
    <col min="13061" max="13063" width="16.453125" customWidth="1"/>
    <col min="13313" max="13313" width="4.453125" customWidth="1"/>
    <col min="13314" max="13314" width="25" customWidth="1"/>
    <col min="13315" max="13315" width="12.7265625" customWidth="1"/>
    <col min="13316" max="13316" width="18" customWidth="1"/>
    <col min="13317" max="13319" width="16.453125" customWidth="1"/>
    <col min="13569" max="13569" width="4.453125" customWidth="1"/>
    <col min="13570" max="13570" width="25" customWidth="1"/>
    <col min="13571" max="13571" width="12.7265625" customWidth="1"/>
    <col min="13572" max="13572" width="18" customWidth="1"/>
    <col min="13573" max="13575" width="16.453125" customWidth="1"/>
    <col min="13825" max="13825" width="4.453125" customWidth="1"/>
    <col min="13826" max="13826" width="25" customWidth="1"/>
    <col min="13827" max="13827" width="12.7265625" customWidth="1"/>
    <col min="13828" max="13828" width="18" customWidth="1"/>
    <col min="13829" max="13831" width="16.453125" customWidth="1"/>
    <col min="14081" max="14081" width="4.453125" customWidth="1"/>
    <col min="14082" max="14082" width="25" customWidth="1"/>
    <col min="14083" max="14083" width="12.7265625" customWidth="1"/>
    <col min="14084" max="14084" width="18" customWidth="1"/>
    <col min="14085" max="14087" width="16.453125" customWidth="1"/>
    <col min="14337" max="14337" width="4.453125" customWidth="1"/>
    <col min="14338" max="14338" width="25" customWidth="1"/>
    <col min="14339" max="14339" width="12.7265625" customWidth="1"/>
    <col min="14340" max="14340" width="18" customWidth="1"/>
    <col min="14341" max="14343" width="16.453125" customWidth="1"/>
    <col min="14593" max="14593" width="4.453125" customWidth="1"/>
    <col min="14594" max="14594" width="25" customWidth="1"/>
    <col min="14595" max="14595" width="12.7265625" customWidth="1"/>
    <col min="14596" max="14596" width="18" customWidth="1"/>
    <col min="14597" max="14599" width="16.453125" customWidth="1"/>
    <col min="14849" max="14849" width="4.453125" customWidth="1"/>
    <col min="14850" max="14850" width="25" customWidth="1"/>
    <col min="14851" max="14851" width="12.7265625" customWidth="1"/>
    <col min="14852" max="14852" width="18" customWidth="1"/>
    <col min="14853" max="14855" width="16.453125" customWidth="1"/>
    <col min="15105" max="15105" width="4.453125" customWidth="1"/>
    <col min="15106" max="15106" width="25" customWidth="1"/>
    <col min="15107" max="15107" width="12.7265625" customWidth="1"/>
    <col min="15108" max="15108" width="18" customWidth="1"/>
    <col min="15109" max="15111" width="16.453125" customWidth="1"/>
    <col min="15361" max="15361" width="4.453125" customWidth="1"/>
    <col min="15362" max="15362" width="25" customWidth="1"/>
    <col min="15363" max="15363" width="12.7265625" customWidth="1"/>
    <col min="15364" max="15364" width="18" customWidth="1"/>
    <col min="15365" max="15367" width="16.453125" customWidth="1"/>
    <col min="15617" max="15617" width="4.453125" customWidth="1"/>
    <col min="15618" max="15618" width="25" customWidth="1"/>
    <col min="15619" max="15619" width="12.7265625" customWidth="1"/>
    <col min="15620" max="15620" width="18" customWidth="1"/>
    <col min="15621" max="15623" width="16.453125" customWidth="1"/>
    <col min="15873" max="15873" width="4.453125" customWidth="1"/>
    <col min="15874" max="15874" width="25" customWidth="1"/>
    <col min="15875" max="15875" width="12.7265625" customWidth="1"/>
    <col min="15876" max="15876" width="18" customWidth="1"/>
    <col min="15877" max="15879" width="16.453125" customWidth="1"/>
    <col min="16129" max="16129" width="4.453125" customWidth="1"/>
    <col min="16130" max="16130" width="25" customWidth="1"/>
    <col min="16131" max="16131" width="12.7265625" customWidth="1"/>
    <col min="16132" max="16132" width="18" customWidth="1"/>
    <col min="16133" max="16135" width="16.453125" customWidth="1"/>
  </cols>
  <sheetData>
    <row r="1" spans="1:7" ht="18.5" x14ac:dyDescent="0.45">
      <c r="A1" s="41"/>
    </row>
    <row r="2" spans="1:7" ht="18.5" x14ac:dyDescent="0.45">
      <c r="A2" s="35"/>
    </row>
    <row r="3" spans="1:7" ht="18.5" x14ac:dyDescent="0.55000000000000004">
      <c r="B3" s="36" t="s">
        <v>318</v>
      </c>
    </row>
    <row r="4" spans="1:7" ht="18.5" x14ac:dyDescent="0.55000000000000004">
      <c r="B4" s="36" t="s">
        <v>319</v>
      </c>
    </row>
    <row r="5" spans="1:7" ht="18.5" x14ac:dyDescent="0.55000000000000004">
      <c r="B5" s="36" t="s">
        <v>320</v>
      </c>
    </row>
    <row r="8" spans="1:7" x14ac:dyDescent="0.35">
      <c r="B8" s="65" t="s">
        <v>165</v>
      </c>
      <c r="C8" s="65" t="s">
        <v>166</v>
      </c>
      <c r="D8" s="65" t="s">
        <v>167</v>
      </c>
      <c r="E8" s="65" t="s">
        <v>168</v>
      </c>
      <c r="F8" s="65" t="s">
        <v>169</v>
      </c>
      <c r="G8" s="65" t="s">
        <v>170</v>
      </c>
    </row>
    <row r="9" spans="1:7" x14ac:dyDescent="0.35">
      <c r="B9" s="46" t="s">
        <v>171</v>
      </c>
      <c r="C9" s="63" t="s">
        <v>172</v>
      </c>
      <c r="D9" s="46" t="s">
        <v>173</v>
      </c>
      <c r="E9" s="46" t="str">
        <f>SUBSTITUTE(D9," election","")</f>
        <v>1844</v>
      </c>
      <c r="F9" s="64" t="str">
        <f>REPLACE(B9,1,2,"")</f>
        <v>James K. Polk</v>
      </c>
      <c r="G9" s="89" t="str">
        <f>F9&amp;" won the "&amp;E9&amp;" election with "&amp;C9&amp;"  of the popular vote"</f>
        <v>James K. Polk won the 1844 election with 49.3%  of the popular vote</v>
      </c>
    </row>
    <row r="10" spans="1:7" x14ac:dyDescent="0.35">
      <c r="B10" s="46" t="s">
        <v>174</v>
      </c>
      <c r="C10" s="63" t="s">
        <v>175</v>
      </c>
      <c r="D10" s="46" t="s">
        <v>176</v>
      </c>
      <c r="E10" s="46" t="str">
        <f t="shared" ref="E10:E22" si="0">SUBSTITUTE(D10," election","")</f>
        <v>1848</v>
      </c>
      <c r="F10" s="64" t="str">
        <f t="shared" ref="F10:F22" si="1">REPLACE(B10,1,2,"")</f>
        <v>Zachary Taylor</v>
      </c>
      <c r="G10" s="89" t="str">
        <f t="shared" ref="G10:G22" si="2">F10&amp;" won the "&amp;E10&amp;" election with "&amp;C10&amp;"  of the popular vote"</f>
        <v>Zachary Taylor won the 1848 election with 47.3%  of the popular vote</v>
      </c>
    </row>
    <row r="11" spans="1:7" x14ac:dyDescent="0.35">
      <c r="B11" s="46" t="s">
        <v>177</v>
      </c>
      <c r="C11" s="63" t="s">
        <v>178</v>
      </c>
      <c r="D11" s="46" t="s">
        <v>179</v>
      </c>
      <c r="E11" s="46" t="str">
        <f t="shared" si="0"/>
        <v>1856</v>
      </c>
      <c r="F11" s="64" t="str">
        <f t="shared" si="1"/>
        <v>James Buchanan</v>
      </c>
      <c r="G11" s="89" t="str">
        <f t="shared" si="2"/>
        <v>James Buchanan won the 1856 election with 45.3%  of the popular vote</v>
      </c>
    </row>
    <row r="12" spans="1:7" x14ac:dyDescent="0.35">
      <c r="B12" s="46" t="s">
        <v>180</v>
      </c>
      <c r="C12" s="63" t="s">
        <v>181</v>
      </c>
      <c r="D12" s="46" t="s">
        <v>182</v>
      </c>
      <c r="E12" s="46" t="str">
        <f t="shared" si="0"/>
        <v>1860</v>
      </c>
      <c r="F12" s="64" t="str">
        <f t="shared" si="1"/>
        <v>Abraham Lincoln</v>
      </c>
      <c r="G12" s="89" t="str">
        <f t="shared" si="2"/>
        <v>Abraham Lincoln won the 1860 election with 39.9%  of the popular vote</v>
      </c>
    </row>
    <row r="13" spans="1:7" x14ac:dyDescent="0.35">
      <c r="B13" s="46" t="s">
        <v>183</v>
      </c>
      <c r="C13" s="63" t="s">
        <v>184</v>
      </c>
      <c r="D13" s="46" t="s">
        <v>185</v>
      </c>
      <c r="E13" s="46" t="str">
        <f t="shared" si="0"/>
        <v>1880</v>
      </c>
      <c r="F13" s="64" t="str">
        <f t="shared" si="1"/>
        <v>James Garfield</v>
      </c>
      <c r="G13" s="89" t="str">
        <f t="shared" si="2"/>
        <v>James Garfield won the 1880 election with 48.3%  of the popular vote</v>
      </c>
    </row>
    <row r="14" spans="1:7" x14ac:dyDescent="0.35">
      <c r="B14" s="46" t="s">
        <v>186</v>
      </c>
      <c r="C14" s="63" t="s">
        <v>187</v>
      </c>
      <c r="D14" s="46" t="s">
        <v>188</v>
      </c>
      <c r="E14" s="46" t="str">
        <f t="shared" si="0"/>
        <v>1884</v>
      </c>
      <c r="F14" s="64" t="str">
        <f t="shared" si="1"/>
        <v>Grover Cleveland</v>
      </c>
      <c r="G14" s="89" t="str">
        <f t="shared" si="2"/>
        <v>Grover Cleveland won the 1884 election with 48.8%  of the popular vote</v>
      </c>
    </row>
    <row r="15" spans="1:7" x14ac:dyDescent="0.35">
      <c r="B15" s="46" t="s">
        <v>186</v>
      </c>
      <c r="C15" s="63" t="s">
        <v>189</v>
      </c>
      <c r="D15" s="46" t="s">
        <v>190</v>
      </c>
      <c r="E15" s="46" t="str">
        <f t="shared" si="0"/>
        <v>1892</v>
      </c>
      <c r="F15" s="64" t="str">
        <f t="shared" si="1"/>
        <v>Grover Cleveland</v>
      </c>
      <c r="G15" s="89" t="str">
        <f t="shared" si="2"/>
        <v>Grover Cleveland won the 1892 election with 46.0%  of the popular vote</v>
      </c>
    </row>
    <row r="16" spans="1:7" x14ac:dyDescent="0.35">
      <c r="B16" s="46" t="s">
        <v>191</v>
      </c>
      <c r="C16" s="63" t="s">
        <v>192</v>
      </c>
      <c r="D16" s="46" t="s">
        <v>193</v>
      </c>
      <c r="E16" s="46" t="str">
        <f t="shared" si="0"/>
        <v>1912</v>
      </c>
      <c r="F16" s="64" t="str">
        <f t="shared" si="1"/>
        <v>Woodrow Wilson</v>
      </c>
      <c r="G16" s="89" t="str">
        <f t="shared" si="2"/>
        <v>Woodrow Wilson won the 1912 election with 41.8%  of the popular vote</v>
      </c>
    </row>
    <row r="17" spans="2:7" x14ac:dyDescent="0.35">
      <c r="B17" s="46" t="s">
        <v>191</v>
      </c>
      <c r="C17" s="63" t="s">
        <v>172</v>
      </c>
      <c r="D17" s="46" t="s">
        <v>194</v>
      </c>
      <c r="E17" s="46" t="str">
        <f t="shared" si="0"/>
        <v>1916</v>
      </c>
      <c r="F17" s="64" t="str">
        <f t="shared" si="1"/>
        <v>Woodrow Wilson</v>
      </c>
      <c r="G17" s="89" t="str">
        <f t="shared" si="2"/>
        <v>Woodrow Wilson won the 1916 election with 49.3%  of the popular vote</v>
      </c>
    </row>
    <row r="18" spans="2:7" x14ac:dyDescent="0.35">
      <c r="B18" s="46" t="s">
        <v>195</v>
      </c>
      <c r="C18" s="63" t="s">
        <v>196</v>
      </c>
      <c r="D18" s="46" t="s">
        <v>197</v>
      </c>
      <c r="E18" s="46" t="str">
        <f t="shared" si="0"/>
        <v>1948</v>
      </c>
      <c r="F18" s="64" t="str">
        <f t="shared" si="1"/>
        <v>Harry S. Truman</v>
      </c>
      <c r="G18" s="89" t="str">
        <f t="shared" si="2"/>
        <v>Harry S. Truman won the 1948 election with 49.7%  of the popular vote</v>
      </c>
    </row>
    <row r="19" spans="2:7" x14ac:dyDescent="0.35">
      <c r="B19" s="46" t="s">
        <v>198</v>
      </c>
      <c r="C19" s="63" t="s">
        <v>196</v>
      </c>
      <c r="D19" s="46" t="s">
        <v>199</v>
      </c>
      <c r="E19" s="46" t="str">
        <f t="shared" si="0"/>
        <v>1960</v>
      </c>
      <c r="F19" s="64" t="str">
        <f t="shared" si="1"/>
        <v>John F. Kennedy</v>
      </c>
      <c r="G19" s="89" t="str">
        <f t="shared" si="2"/>
        <v>John F. Kennedy won the 1960 election with 49.7%  of the popular vote</v>
      </c>
    </row>
    <row r="20" spans="2:7" x14ac:dyDescent="0.35">
      <c r="B20" s="46" t="s">
        <v>200</v>
      </c>
      <c r="C20" s="63" t="s">
        <v>201</v>
      </c>
      <c r="D20" s="46" t="s">
        <v>202</v>
      </c>
      <c r="E20" s="46" t="str">
        <f t="shared" si="0"/>
        <v>1968</v>
      </c>
      <c r="F20" s="64" t="str">
        <f t="shared" si="1"/>
        <v>Richard Nixon</v>
      </c>
      <c r="G20" s="89" t="str">
        <f t="shared" si="2"/>
        <v>Richard Nixon won the 1968 election with 43.2%  of the popular vote</v>
      </c>
    </row>
    <row r="21" spans="2:7" x14ac:dyDescent="0.35">
      <c r="B21" s="46" t="s">
        <v>203</v>
      </c>
      <c r="C21" s="63" t="s">
        <v>204</v>
      </c>
      <c r="D21" s="46" t="s">
        <v>205</v>
      </c>
      <c r="E21" s="46" t="str">
        <f t="shared" si="0"/>
        <v>1992</v>
      </c>
      <c r="F21" s="64" t="str">
        <f t="shared" si="1"/>
        <v>Bill Clinton</v>
      </c>
      <c r="G21" s="89" t="str">
        <f t="shared" si="2"/>
        <v>Bill Clinton won the 1992 election with 42.9%  of the popular vote</v>
      </c>
    </row>
    <row r="22" spans="2:7" x14ac:dyDescent="0.35">
      <c r="B22" s="46" t="s">
        <v>203</v>
      </c>
      <c r="C22" s="63" t="s">
        <v>206</v>
      </c>
      <c r="D22" s="46" t="s">
        <v>207</v>
      </c>
      <c r="E22" s="46" t="str">
        <f t="shared" si="0"/>
        <v>1996</v>
      </c>
      <c r="F22" s="64" t="str">
        <f t="shared" si="1"/>
        <v>Bill Clinton</v>
      </c>
      <c r="G22" s="89" t="str">
        <f t="shared" si="2"/>
        <v>Bill Clinton won the 1996 election with 49.2%  of the popular vote</v>
      </c>
    </row>
    <row r="23" spans="2:7" x14ac:dyDescent="0.35">
      <c r="C23" s="38"/>
    </row>
    <row r="24" spans="2:7" x14ac:dyDescent="0.35">
      <c r="C24" s="38"/>
    </row>
    <row r="25" spans="2:7" x14ac:dyDescent="0.35">
      <c r="C25" s="38"/>
    </row>
    <row r="26" spans="2:7" x14ac:dyDescent="0.35">
      <c r="C26" s="38"/>
    </row>
    <row r="27" spans="2:7" x14ac:dyDescent="0.35">
      <c r="C27" s="38"/>
    </row>
    <row r="28" spans="2:7" x14ac:dyDescent="0.35">
      <c r="C28" s="38"/>
    </row>
    <row r="34" spans="1:4" s="67" customFormat="1" x14ac:dyDescent="0.35"/>
    <row r="35" spans="1:4" s="67" customFormat="1" x14ac:dyDescent="0.35"/>
    <row r="36" spans="1:4" s="67" customFormat="1" x14ac:dyDescent="0.35">
      <c r="A36" s="66" t="s">
        <v>208</v>
      </c>
    </row>
    <row r="37" spans="1:4" s="67" customFormat="1" x14ac:dyDescent="0.35">
      <c r="A37" s="68" t="s">
        <v>168</v>
      </c>
      <c r="B37" s="68" t="s">
        <v>169</v>
      </c>
      <c r="C37" s="68" t="s">
        <v>170</v>
      </c>
    </row>
    <row r="38" spans="1:4" s="67" customFormat="1" x14ac:dyDescent="0.35">
      <c r="A38" s="69" t="s">
        <v>209</v>
      </c>
      <c r="B38" s="69" t="s">
        <v>210</v>
      </c>
      <c r="C38" s="69" t="s">
        <v>211</v>
      </c>
    </row>
    <row r="39" spans="1:4" s="67" customFormat="1" x14ac:dyDescent="0.35"/>
    <row r="40" spans="1:4" s="67" customFormat="1" x14ac:dyDescent="0.35"/>
    <row r="41" spans="1:4" s="67" customFormat="1" x14ac:dyDescent="0.35"/>
    <row r="43" spans="1:4" x14ac:dyDescent="0.35">
      <c r="B43" s="40"/>
    </row>
    <row r="44" spans="1:4" x14ac:dyDescent="0.35">
      <c r="B44" s="37"/>
      <c r="C44" s="37"/>
      <c r="D44" s="37"/>
    </row>
    <row r="45" spans="1:4" x14ac:dyDescent="0.35">
      <c r="B45" s="39"/>
      <c r="C45" s="39"/>
      <c r="D45" s="39"/>
    </row>
  </sheetData>
  <pageMargins left="0.7" right="0.7" top="0.75" bottom="0.75" header="0.3" footer="0.3"/>
  <ignoredErrors>
    <ignoredError sqref="C9:C22" numberStoredAsText="1"/>
  </ignoredError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46"/>
  <sheetViews>
    <sheetView topLeftCell="A7" workbookViewId="0">
      <selection activeCell="E14" sqref="E14"/>
    </sheetView>
  </sheetViews>
  <sheetFormatPr defaultRowHeight="14.5" x14ac:dyDescent="0.35"/>
  <cols>
    <col min="1" max="1" width="23.7265625" bestFit="1" customWidth="1"/>
  </cols>
  <sheetData>
    <row r="1" spans="1:1" x14ac:dyDescent="0.35">
      <c r="A1" s="29" t="s">
        <v>272</v>
      </c>
    </row>
    <row r="13" spans="1:1" x14ac:dyDescent="0.35">
      <c r="A13" t="s">
        <v>238</v>
      </c>
    </row>
    <row r="14" spans="1:1" x14ac:dyDescent="0.35">
      <c r="A14" t="s">
        <v>239</v>
      </c>
    </row>
    <row r="15" spans="1:1" x14ac:dyDescent="0.35">
      <c r="A15" t="s">
        <v>240</v>
      </c>
    </row>
    <row r="16" spans="1:1" x14ac:dyDescent="0.35">
      <c r="A16" t="s">
        <v>241</v>
      </c>
    </row>
    <row r="17" spans="1:1" x14ac:dyDescent="0.35">
      <c r="A17" t="s">
        <v>242</v>
      </c>
    </row>
    <row r="18" spans="1:1" x14ac:dyDescent="0.35">
      <c r="A18" t="s">
        <v>243</v>
      </c>
    </row>
    <row r="19" spans="1:1" x14ac:dyDescent="0.35">
      <c r="A19" t="s">
        <v>244</v>
      </c>
    </row>
    <row r="20" spans="1:1" x14ac:dyDescent="0.35">
      <c r="A20" t="s">
        <v>245</v>
      </c>
    </row>
    <row r="21" spans="1:1" x14ac:dyDescent="0.35">
      <c r="A21" t="s">
        <v>246</v>
      </c>
    </row>
    <row r="22" spans="1:1" x14ac:dyDescent="0.35">
      <c r="A22" t="s">
        <v>247</v>
      </c>
    </row>
    <row r="23" spans="1:1" x14ac:dyDescent="0.35">
      <c r="A23" t="s">
        <v>248</v>
      </c>
    </row>
    <row r="24" spans="1:1" x14ac:dyDescent="0.35">
      <c r="A24" t="s">
        <v>249</v>
      </c>
    </row>
    <row r="25" spans="1:1" x14ac:dyDescent="0.35">
      <c r="A25" t="s">
        <v>250</v>
      </c>
    </row>
    <row r="26" spans="1:1" x14ac:dyDescent="0.35">
      <c r="A26" t="s">
        <v>251</v>
      </c>
    </row>
    <row r="27" spans="1:1" x14ac:dyDescent="0.35">
      <c r="A27" t="s">
        <v>252</v>
      </c>
    </row>
    <row r="28" spans="1:1" x14ac:dyDescent="0.35">
      <c r="A28" t="s">
        <v>253</v>
      </c>
    </row>
    <row r="29" spans="1:1" x14ac:dyDescent="0.35">
      <c r="A29" t="s">
        <v>254</v>
      </c>
    </row>
    <row r="30" spans="1:1" x14ac:dyDescent="0.35">
      <c r="A30" t="s">
        <v>255</v>
      </c>
    </row>
    <row r="31" spans="1:1" x14ac:dyDescent="0.35">
      <c r="A31" t="s">
        <v>256</v>
      </c>
    </row>
    <row r="32" spans="1:1" x14ac:dyDescent="0.35">
      <c r="A32" t="s">
        <v>257</v>
      </c>
    </row>
    <row r="33" spans="1:1" x14ac:dyDescent="0.35">
      <c r="A33" t="s">
        <v>258</v>
      </c>
    </row>
    <row r="34" spans="1:1" x14ac:dyDescent="0.35">
      <c r="A34" t="s">
        <v>259</v>
      </c>
    </row>
    <row r="35" spans="1:1" x14ac:dyDescent="0.35">
      <c r="A35" t="s">
        <v>260</v>
      </c>
    </row>
    <row r="36" spans="1:1" x14ac:dyDescent="0.35">
      <c r="A36" t="s">
        <v>261</v>
      </c>
    </row>
    <row r="37" spans="1:1" x14ac:dyDescent="0.35">
      <c r="A37" t="s">
        <v>262</v>
      </c>
    </row>
    <row r="38" spans="1:1" x14ac:dyDescent="0.35">
      <c r="A38" t="s">
        <v>263</v>
      </c>
    </row>
    <row r="39" spans="1:1" x14ac:dyDescent="0.35">
      <c r="A39" t="s">
        <v>264</v>
      </c>
    </row>
    <row r="40" spans="1:1" x14ac:dyDescent="0.35">
      <c r="A40" t="s">
        <v>265</v>
      </c>
    </row>
    <row r="41" spans="1:1" x14ac:dyDescent="0.35">
      <c r="A41" t="s">
        <v>266</v>
      </c>
    </row>
    <row r="42" spans="1:1" x14ac:dyDescent="0.35">
      <c r="A42" t="s">
        <v>267</v>
      </c>
    </row>
    <row r="43" spans="1:1" x14ac:dyDescent="0.35">
      <c r="A43" t="s">
        <v>268</v>
      </c>
    </row>
    <row r="44" spans="1:1" x14ac:dyDescent="0.35">
      <c r="A44" t="s">
        <v>269</v>
      </c>
    </row>
    <row r="45" spans="1:1" x14ac:dyDescent="0.35">
      <c r="A45" t="s">
        <v>270</v>
      </c>
    </row>
    <row r="46" spans="1:1" x14ac:dyDescent="0.35">
      <c r="A46" t="s">
        <v>271</v>
      </c>
    </row>
  </sheetData>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B3:R58"/>
  <sheetViews>
    <sheetView showGridLines="0" topLeftCell="B1" zoomScaleNormal="100" workbookViewId="0">
      <selection activeCell="E14" sqref="E14"/>
    </sheetView>
  </sheetViews>
  <sheetFormatPr defaultColWidth="8.81640625" defaultRowHeight="15" customHeight="1" x14ac:dyDescent="0.35"/>
  <cols>
    <col min="1" max="1" width="3.54296875" customWidth="1"/>
    <col min="11" max="11" width="19.26953125" customWidth="1"/>
    <col min="12" max="12" width="10.1796875" customWidth="1"/>
    <col min="13" max="13" width="7.26953125" customWidth="1"/>
    <col min="14" max="14" width="10.54296875" customWidth="1"/>
    <col min="15" max="15" width="15.7265625" customWidth="1"/>
    <col min="16" max="16" width="18.54296875" customWidth="1"/>
    <col min="18" max="18" width="15.453125" customWidth="1"/>
  </cols>
  <sheetData>
    <row r="3" spans="11:18" ht="15" customHeight="1" x14ac:dyDescent="0.35">
      <c r="K3" s="29" t="s">
        <v>313</v>
      </c>
    </row>
    <row r="4" spans="11:18" ht="15" customHeight="1" x14ac:dyDescent="0.35">
      <c r="K4" t="s">
        <v>312</v>
      </c>
      <c r="L4" s="58" t="s">
        <v>311</v>
      </c>
      <c r="M4" s="58" t="s">
        <v>277</v>
      </c>
      <c r="N4" s="58" t="s">
        <v>310</v>
      </c>
      <c r="O4" s="58" t="s">
        <v>309</v>
      </c>
      <c r="P4" s="58" t="s">
        <v>308</v>
      </c>
      <c r="Q4" s="58" t="s">
        <v>307</v>
      </c>
      <c r="R4" s="58" t="s">
        <v>306</v>
      </c>
    </row>
    <row r="6" spans="11:18" ht="15" customHeight="1" x14ac:dyDescent="0.35">
      <c r="K6" s="29" t="s">
        <v>305</v>
      </c>
      <c r="L6" s="61"/>
    </row>
    <row r="7" spans="11:18" ht="15" customHeight="1" x14ac:dyDescent="0.35">
      <c r="K7" t="s">
        <v>304</v>
      </c>
      <c r="L7" s="60" t="s">
        <v>303</v>
      </c>
      <c r="M7" s="58" t="s">
        <v>302</v>
      </c>
      <c r="N7" s="58" t="s">
        <v>301</v>
      </c>
      <c r="O7" s="58"/>
      <c r="P7" s="58"/>
      <c r="Q7" s="58"/>
      <c r="R7" s="58"/>
    </row>
    <row r="8" spans="11:18" ht="15" customHeight="1" x14ac:dyDescent="0.35">
      <c r="K8" t="s">
        <v>300</v>
      </c>
      <c r="L8" s="60" t="s">
        <v>299</v>
      </c>
      <c r="M8" s="58" t="s">
        <v>277</v>
      </c>
      <c r="N8" s="58"/>
      <c r="O8" s="58"/>
      <c r="P8" s="58"/>
      <c r="Q8" s="58"/>
      <c r="R8" s="58"/>
    </row>
    <row r="9" spans="11:18" ht="15" customHeight="1" x14ac:dyDescent="0.35">
      <c r="K9" t="s">
        <v>298</v>
      </c>
      <c r="L9" s="60" t="s">
        <v>297</v>
      </c>
      <c r="M9" s="58" t="s">
        <v>289</v>
      </c>
      <c r="N9" s="58"/>
      <c r="O9" s="58"/>
      <c r="P9" s="58"/>
      <c r="Q9" s="58"/>
      <c r="R9" s="58"/>
    </row>
    <row r="10" spans="11:18" ht="15" customHeight="1" x14ac:dyDescent="0.35">
      <c r="K10" t="s">
        <v>296</v>
      </c>
      <c r="L10" s="60" t="s">
        <v>295</v>
      </c>
      <c r="M10" s="58" t="s">
        <v>277</v>
      </c>
      <c r="N10" s="58"/>
      <c r="O10" s="58"/>
      <c r="P10" s="58"/>
      <c r="Q10" s="58"/>
      <c r="R10" s="58"/>
    </row>
    <row r="11" spans="11:18" ht="15" customHeight="1" x14ac:dyDescent="0.35">
      <c r="K11" t="s">
        <v>294</v>
      </c>
      <c r="L11" s="60" t="s">
        <v>293</v>
      </c>
      <c r="M11" s="58" t="s">
        <v>292</v>
      </c>
      <c r="N11" s="58"/>
      <c r="O11" s="58"/>
      <c r="P11" s="58"/>
      <c r="Q11" s="58"/>
      <c r="R11" s="58"/>
    </row>
    <row r="12" spans="11:18" ht="15" customHeight="1" x14ac:dyDescent="0.35">
      <c r="K12" t="s">
        <v>291</v>
      </c>
      <c r="L12" s="60" t="s">
        <v>290</v>
      </c>
      <c r="M12" s="58" t="s">
        <v>289</v>
      </c>
      <c r="N12" s="58"/>
      <c r="O12" s="58"/>
      <c r="P12" s="58"/>
      <c r="Q12" s="58"/>
      <c r="R12" s="58"/>
    </row>
    <row r="13" spans="11:18" ht="15" customHeight="1" x14ac:dyDescent="0.35">
      <c r="K13" t="s">
        <v>288</v>
      </c>
      <c r="L13" s="60" t="s">
        <v>287</v>
      </c>
      <c r="M13" s="58" t="s">
        <v>286</v>
      </c>
      <c r="N13" s="58"/>
      <c r="O13" s="58"/>
      <c r="P13" s="58"/>
      <c r="Q13" s="58"/>
      <c r="R13" s="58"/>
    </row>
    <row r="14" spans="11:18" ht="15" customHeight="1" x14ac:dyDescent="0.35">
      <c r="K14" t="s">
        <v>285</v>
      </c>
      <c r="L14" s="60" t="s">
        <v>284</v>
      </c>
      <c r="M14" s="58" t="s">
        <v>283</v>
      </c>
      <c r="N14" s="58"/>
      <c r="O14" s="58"/>
      <c r="P14" s="58"/>
      <c r="Q14" s="58"/>
      <c r="R14" s="58"/>
    </row>
    <row r="15" spans="11:18" ht="15" customHeight="1" x14ac:dyDescent="0.35">
      <c r="K15" t="s">
        <v>282</v>
      </c>
      <c r="L15" s="60" t="s">
        <v>281</v>
      </c>
      <c r="M15" s="58" t="s">
        <v>280</v>
      </c>
      <c r="N15" s="58"/>
      <c r="O15" s="58"/>
      <c r="P15" s="58"/>
      <c r="Q15" s="58"/>
      <c r="R15" s="58"/>
    </row>
    <row r="16" spans="11:18" ht="15" customHeight="1" x14ac:dyDescent="0.35">
      <c r="K16" t="s">
        <v>279</v>
      </c>
      <c r="L16" s="60" t="s">
        <v>278</v>
      </c>
      <c r="M16" s="58" t="s">
        <v>277</v>
      </c>
      <c r="N16" s="58"/>
      <c r="O16" s="58"/>
      <c r="P16" s="58"/>
      <c r="Q16" s="58"/>
      <c r="R16" s="58"/>
    </row>
    <row r="18" spans="11:18" ht="15" customHeight="1" x14ac:dyDescent="0.35">
      <c r="K18" s="29" t="s">
        <v>276</v>
      </c>
      <c r="O18" s="29" t="s">
        <v>275</v>
      </c>
    </row>
    <row r="19" spans="11:18" ht="15" customHeight="1" x14ac:dyDescent="0.35">
      <c r="K19">
        <v>123.78</v>
      </c>
      <c r="L19" s="58">
        <v>123</v>
      </c>
      <c r="M19" s="58">
        <v>78</v>
      </c>
      <c r="O19" s="31">
        <v>41326</v>
      </c>
      <c r="P19" s="58">
        <v>2013</v>
      </c>
      <c r="Q19" s="58">
        <v>2</v>
      </c>
      <c r="R19" s="58">
        <v>21</v>
      </c>
    </row>
    <row r="21" spans="11:18" ht="15" customHeight="1" x14ac:dyDescent="0.35">
      <c r="K21" s="29" t="s">
        <v>274</v>
      </c>
      <c r="O21" s="29" t="s">
        <v>273</v>
      </c>
    </row>
    <row r="22" spans="11:18" ht="15" customHeight="1" x14ac:dyDescent="0.35">
      <c r="K22" s="59">
        <v>126.9</v>
      </c>
      <c r="L22" s="58">
        <v>90</v>
      </c>
      <c r="M22" s="58">
        <v>126</v>
      </c>
      <c r="O22" s="31">
        <v>40911</v>
      </c>
      <c r="P22" s="58"/>
      <c r="Q22" s="58"/>
      <c r="R22" s="58"/>
    </row>
    <row r="23" spans="11:18" ht="15" customHeight="1" x14ac:dyDescent="0.35">
      <c r="K23">
        <v>321.45</v>
      </c>
      <c r="L23" s="58">
        <v>45</v>
      </c>
      <c r="M23" s="58">
        <v>321</v>
      </c>
      <c r="O23" s="31">
        <v>36611</v>
      </c>
      <c r="P23" s="58"/>
      <c r="Q23" s="58"/>
      <c r="R23" s="58"/>
    </row>
    <row r="24" spans="11:18" ht="15" customHeight="1" x14ac:dyDescent="0.35">
      <c r="K24">
        <v>860.22</v>
      </c>
      <c r="L24" s="58">
        <v>22</v>
      </c>
      <c r="M24" s="58">
        <v>860</v>
      </c>
      <c r="O24" s="31">
        <v>36287</v>
      </c>
      <c r="P24" s="58"/>
      <c r="Q24" s="58"/>
      <c r="R24" s="58"/>
    </row>
    <row r="25" spans="11:18" ht="15" customHeight="1" x14ac:dyDescent="0.35">
      <c r="K25">
        <v>98.14</v>
      </c>
      <c r="L25" s="58">
        <v>14</v>
      </c>
      <c r="M25" s="58">
        <v>98</v>
      </c>
      <c r="O25" s="31">
        <v>39542</v>
      </c>
      <c r="P25" s="58"/>
      <c r="Q25" s="58"/>
      <c r="R25" s="58"/>
    </row>
    <row r="26" spans="11:18" ht="15" customHeight="1" x14ac:dyDescent="0.35">
      <c r="K26">
        <v>113.67</v>
      </c>
      <c r="L26" s="58">
        <v>67</v>
      </c>
      <c r="M26" s="58">
        <v>113</v>
      </c>
      <c r="O26" s="31">
        <v>27928</v>
      </c>
      <c r="P26" s="58"/>
      <c r="Q26" s="58"/>
      <c r="R26" s="58"/>
    </row>
    <row r="27" spans="11:18" ht="15" customHeight="1" x14ac:dyDescent="0.35">
      <c r="K27">
        <v>85.62</v>
      </c>
      <c r="L27" s="58">
        <v>62</v>
      </c>
      <c r="M27" s="58">
        <v>85</v>
      </c>
      <c r="O27" s="31">
        <v>36614</v>
      </c>
      <c r="P27" s="58"/>
      <c r="Q27" s="58"/>
      <c r="R27" s="58"/>
    </row>
    <row r="28" spans="11:18" ht="15" customHeight="1" x14ac:dyDescent="0.35">
      <c r="K28">
        <v>256.48</v>
      </c>
      <c r="L28" s="58">
        <v>48</v>
      </c>
      <c r="M28" s="58">
        <v>256</v>
      </c>
      <c r="O28" s="31">
        <v>41998</v>
      </c>
      <c r="P28" s="58"/>
      <c r="Q28" s="58"/>
      <c r="R28" s="58"/>
    </row>
    <row r="29" spans="11:18" ht="15" customHeight="1" x14ac:dyDescent="0.35">
      <c r="K29" s="57"/>
    </row>
    <row r="58" spans="2:2" ht="15" customHeight="1" x14ac:dyDescent="0.35">
      <c r="B58" s="29"/>
    </row>
  </sheetData>
  <pageMargins left="0.7" right="0.7" top="0.75" bottom="0.75" header="0.3" footer="0.3"/>
  <pageSetup orientation="portrait" verticalDpi="0"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7217be1f-df24-4ed7-b2fe-cb2789e1ed5f" xsi:nil="true"/>
    <lcf76f155ced4ddcb4097134ff3c332f xmlns="773ae310-5f92-4ed5-9a69-95b833cc21b2">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F53A2B211AB2CA47B1BC903360B652AD" ma:contentTypeVersion="11" ma:contentTypeDescription="Create a new document." ma:contentTypeScope="" ma:versionID="1115a3a5780b04eb9e19fe48d67769d6">
  <xsd:schema xmlns:xsd="http://www.w3.org/2001/XMLSchema" xmlns:xs="http://www.w3.org/2001/XMLSchema" xmlns:p="http://schemas.microsoft.com/office/2006/metadata/properties" xmlns:ns2="773ae310-5f92-4ed5-9a69-95b833cc21b2" xmlns:ns3="7217be1f-df24-4ed7-b2fe-cb2789e1ed5f" targetNamespace="http://schemas.microsoft.com/office/2006/metadata/properties" ma:root="true" ma:fieldsID="f93bc77c4f249538b0f8abd326b665e5" ns2:_="" ns3:_="">
    <xsd:import namespace="773ae310-5f92-4ed5-9a69-95b833cc21b2"/>
    <xsd:import namespace="7217be1f-df24-4ed7-b2fe-cb2789e1ed5f"/>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73ae310-5f92-4ed5-9a69-95b833cc21b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eb3e194f-0e8c-4526-a92f-53e42d412945"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7217be1f-df24-4ed7-b2fe-cb2789e1ed5f"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6321f21c-461b-4774-b1d3-d56dfe058ef7}" ma:internalName="TaxCatchAll" ma:showField="CatchAllData" ma:web="7217be1f-df24-4ed7-b2fe-cb2789e1ed5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1B918C5-6CC6-4644-BD5D-82840426A51B}">
  <ds:schemaRefs>
    <ds:schemaRef ds:uri="http://schemas.microsoft.com/office/2006/metadata/properties"/>
    <ds:schemaRef ds:uri="http://schemas.microsoft.com/office/infopath/2007/PartnerControls"/>
    <ds:schemaRef ds:uri="7217be1f-df24-4ed7-b2fe-cb2789e1ed5f"/>
    <ds:schemaRef ds:uri="773ae310-5f92-4ed5-9a69-95b833cc21b2"/>
  </ds:schemaRefs>
</ds:datastoreItem>
</file>

<file path=customXml/itemProps2.xml><?xml version="1.0" encoding="utf-8"?>
<ds:datastoreItem xmlns:ds="http://schemas.openxmlformats.org/officeDocument/2006/customXml" ds:itemID="{269573A1-07A7-4F6C-84C7-FA8391DF72C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73ae310-5f92-4ed5-9a69-95b833cc21b2"/>
    <ds:schemaRef ds:uri="7217be1f-df24-4ed7-b2fe-cb2789e1ed5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3B06EFDD-1078-407B-BC84-F584B3941C1E}">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1</vt:i4>
      </vt:variant>
    </vt:vector>
  </HeadingPairs>
  <TitlesOfParts>
    <vt:vector size="13" baseType="lpstr">
      <vt:lpstr>Text Functions all</vt:lpstr>
      <vt:lpstr>Concatenate</vt:lpstr>
      <vt:lpstr>LEN</vt:lpstr>
      <vt:lpstr>Left,Right,Mid</vt:lpstr>
      <vt:lpstr>Replace</vt:lpstr>
      <vt:lpstr>Substitute</vt:lpstr>
      <vt:lpstr>Lower Upper Proper</vt:lpstr>
      <vt:lpstr>Exact</vt:lpstr>
      <vt:lpstr>Trim</vt:lpstr>
      <vt:lpstr>Ex</vt:lpstr>
      <vt:lpstr>Text to Coulmns</vt:lpstr>
      <vt:lpstr>Flash Fill</vt:lpstr>
      <vt:lpstr>'Text Functions all'!Print_Area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Eng.Nouran ElZeky</dc:creator>
  <cp:lastModifiedBy>Menna AbdelNasser Ramadan Elnagar</cp:lastModifiedBy>
  <dcterms:created xsi:type="dcterms:W3CDTF">2015-11-11T07:33:58Z</dcterms:created>
  <dcterms:modified xsi:type="dcterms:W3CDTF">2026-08-21T22:01:01Z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0x010100F53A2B211AB2CA47B1BC903360B652AD</vt:lpwstr>
  </property>
</Properties>
</file>