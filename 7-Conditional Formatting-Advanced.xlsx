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6"/>
  <workbookPr/>
  <mc:AlternateContent xmlns:mc="http://schemas.openxmlformats.org/markup-compatibility/2006">
    <mc:Choice Requires="x15">
      <x15ac:absPath xmlns:x15ac="http://schemas.microsoft.com/office/spreadsheetml/2010/11/ac" url="C:\Users\Pc\Downloads\depi\data\"/>
    </mc:Choice>
  </mc:AlternateContent>
  <xr:revisionPtr revIDLastSave="0" documentId="13_ncr:1_{68D91570-A446-4B30-807A-582916CDEF90}" xr6:coauthVersionLast="47" xr6:coauthVersionMax="47" xr10:uidLastSave="{00000000-0000-0000-0000-000000000000}"/>
  <bookViews>
    <workbookView xWindow="-90" yWindow="0" windowWidth="9780" windowHeight="10890" xr2:uid="{00000000-000D-0000-FFFF-FFFF00000000}"/>
  </bookViews>
  <sheets>
    <sheet name="Formula-Based Rules" sheetId="1" r:id="rId1"/>
  </sheets>
  <definedNames>
    <definedName name="Data" localSheetId="0">'Formula-Based Rules'!$A$198:$C$205</definedName>
    <definedName name="Data">#REF!</definedName>
    <definedName name="First_List" localSheetId="0">'Formula-Based Rules'!$A$160:$A$167</definedName>
    <definedName name="First_List">#REF!</definedName>
    <definedName name="List1" localSheetId="0">'Formula-Based Rules'!$M$160:$M$167</definedName>
    <definedName name="List1">#REF!</definedName>
    <definedName name="List2" localSheetId="0">'Formula-Based Rules'!$N$160:$N$167</definedName>
    <definedName name="List2">#REF!</definedName>
    <definedName name="Second_List" localSheetId="0">'Formula-Based Rules'!$B$160:$B$167</definedName>
    <definedName name="Second_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4" i="1" l="1"/>
  <c r="M370" i="1"/>
  <c r="M369" i="1"/>
  <c r="M368" i="1"/>
  <c r="M367" i="1"/>
  <c r="M366" i="1"/>
  <c r="M365" i="1"/>
  <c r="M364" i="1"/>
  <c r="M363" i="1"/>
  <c r="M322" i="1"/>
  <c r="M321" i="1"/>
  <c r="M320" i="1"/>
  <c r="M319" i="1"/>
  <c r="M318" i="1"/>
  <c r="M317" i="1"/>
  <c r="M316" i="1"/>
  <c r="M315" i="1"/>
  <c r="S273" i="1"/>
  <c r="G273" i="1"/>
  <c r="S272" i="1"/>
  <c r="G272" i="1"/>
  <c r="S271" i="1"/>
  <c r="G271" i="1"/>
  <c r="S270" i="1"/>
  <c r="G270" i="1"/>
  <c r="S269" i="1"/>
  <c r="G269" i="1"/>
  <c r="S268" i="1"/>
  <c r="G268" i="1"/>
  <c r="C194" i="1"/>
  <c r="B194" i="1"/>
  <c r="A194" i="1"/>
  <c r="C193" i="1"/>
  <c r="B193" i="1"/>
  <c r="A193" i="1"/>
  <c r="C192" i="1"/>
  <c r="B192" i="1"/>
  <c r="A192" i="1"/>
  <c r="C191" i="1"/>
  <c r="B191" i="1"/>
  <c r="A191" i="1"/>
  <c r="C190" i="1"/>
  <c r="B190" i="1"/>
  <c r="A190" i="1"/>
  <c r="C189" i="1"/>
  <c r="B189" i="1"/>
  <c r="A189" i="1"/>
  <c r="C185" i="1"/>
  <c r="B185" i="1"/>
  <c r="A185" i="1"/>
  <c r="C184" i="1"/>
  <c r="B184" i="1"/>
  <c r="A184" i="1"/>
  <c r="C183" i="1"/>
  <c r="B183" i="1"/>
  <c r="A183" i="1"/>
  <c r="C182" i="1"/>
  <c r="B182" i="1"/>
  <c r="A182" i="1"/>
  <c r="C181" i="1"/>
  <c r="B181" i="1"/>
  <c r="A181" i="1"/>
  <c r="C180" i="1"/>
  <c r="B180" i="1"/>
  <c r="A180" i="1"/>
  <c r="N134" i="1"/>
</calcChain>
</file>

<file path=xl/sharedStrings.xml><?xml version="1.0" encoding="utf-8"?>
<sst xmlns="http://schemas.openxmlformats.org/spreadsheetml/2006/main" count="787" uniqueCount="234">
  <si>
    <t>Challenge</t>
  </si>
  <si>
    <t>Solution</t>
  </si>
  <si>
    <t>Highlight all row if the Sales Above Average.</t>
  </si>
  <si>
    <t xml:space="preserve">Product </t>
  </si>
  <si>
    <t>Sold</t>
  </si>
  <si>
    <t>In Stock</t>
  </si>
  <si>
    <t>Delivery</t>
  </si>
  <si>
    <t>Sales</t>
  </si>
  <si>
    <t>Product 1</t>
  </si>
  <si>
    <t>USA</t>
  </si>
  <si>
    <t>Product 2</t>
  </si>
  <si>
    <t>Worldwide</t>
  </si>
  <si>
    <t>Product 3</t>
  </si>
  <si>
    <t>Product 4</t>
  </si>
  <si>
    <t>Product 5</t>
  </si>
  <si>
    <t>Product 6</t>
  </si>
  <si>
    <t>Product 7</t>
  </si>
  <si>
    <t>Product 8</t>
  </si>
  <si>
    <t>Highlight all row if In Stock =0</t>
  </si>
  <si>
    <t xml:space="preserve"> Highlight if  Sales 1 &gt; sales 2</t>
  </si>
  <si>
    <t>Sales1</t>
  </si>
  <si>
    <t>Sales2</t>
  </si>
  <si>
    <t>Highlight if  Sales &gt; 50</t>
  </si>
  <si>
    <t>Highlight if  Sales 1 = sales 2</t>
  </si>
  <si>
    <t>Highlight if  Sales 1&lt;&gt; sales 2</t>
  </si>
  <si>
    <t>Highlight if  Sales 1 &gt; sales 2</t>
  </si>
  <si>
    <t>Sales 1</t>
  </si>
  <si>
    <t>Sales 2</t>
  </si>
  <si>
    <t>Highlight If Text1 = Text 2</t>
  </si>
  <si>
    <t>Text 1</t>
  </si>
  <si>
    <t>Text 2</t>
  </si>
  <si>
    <t>Apple</t>
  </si>
  <si>
    <t>oranges</t>
  </si>
  <si>
    <t>Lemons</t>
  </si>
  <si>
    <t>Highlight If Text1 &lt;&gt; Text 2</t>
  </si>
  <si>
    <t>Highlight if In Stock=0 &amp; the Delivery in USA</t>
  </si>
  <si>
    <t>Highlight if In Stock=0 OR the Delivery in USA</t>
  </si>
  <si>
    <t>Highlight the entire row to orange when a sale is made ; and when an item is delivered, a corresponding row should turn green.</t>
  </si>
  <si>
    <t>Date of sale</t>
  </si>
  <si>
    <t>Date of Delivery</t>
  </si>
  <si>
    <t>Displaying a total only when all values are entered</t>
  </si>
  <si>
    <t>Quarter 1</t>
  </si>
  <si>
    <t>Quarter 2</t>
  </si>
  <si>
    <t>Quarter 3</t>
  </si>
  <si>
    <t>Quarter 4</t>
  </si>
  <si>
    <t>Total</t>
  </si>
  <si>
    <t>Highlight Only Cells contains text</t>
  </si>
  <si>
    <t>F</t>
  </si>
  <si>
    <t>G</t>
  </si>
  <si>
    <t>A</t>
  </si>
  <si>
    <t>C</t>
  </si>
  <si>
    <t>B</t>
  </si>
  <si>
    <t>D</t>
  </si>
  <si>
    <t>K</t>
  </si>
  <si>
    <t>Highlight Only Cells contains Number</t>
  </si>
  <si>
    <t>Compare Two Lists</t>
  </si>
  <si>
    <t>Ahmed</t>
  </si>
  <si>
    <t>Mohammed</t>
  </si>
  <si>
    <t>Ali</t>
  </si>
  <si>
    <t>Ramy</t>
  </si>
  <si>
    <t>Karim</t>
  </si>
  <si>
    <t>Samar</t>
  </si>
  <si>
    <t xml:space="preserve">Moustafa </t>
  </si>
  <si>
    <t>Nader</t>
  </si>
  <si>
    <t>Nada</t>
  </si>
  <si>
    <t xml:space="preserve">Hany </t>
  </si>
  <si>
    <t>Noha</t>
  </si>
  <si>
    <t xml:space="preserve">Highlight using OR </t>
  </si>
  <si>
    <t>Blueberrey</t>
  </si>
  <si>
    <t>Plum</t>
  </si>
  <si>
    <t>Apricot</t>
  </si>
  <si>
    <t>Cherry</t>
  </si>
  <si>
    <t>Lime</t>
  </si>
  <si>
    <t>Banana</t>
  </si>
  <si>
    <t>Date</t>
  </si>
  <si>
    <t>Lemon</t>
  </si>
  <si>
    <t>Blackberry</t>
  </si>
  <si>
    <t>fig</t>
  </si>
  <si>
    <t>Kiwi</t>
  </si>
  <si>
    <t>Strawberry</t>
  </si>
  <si>
    <t>Grape</t>
  </si>
  <si>
    <t>Mango</t>
  </si>
  <si>
    <t xml:space="preserve">Orange </t>
  </si>
  <si>
    <t>Watemelon</t>
  </si>
  <si>
    <t>Pear</t>
  </si>
  <si>
    <t xml:space="preserve">Highlight Odd numbers only </t>
  </si>
  <si>
    <t xml:space="preserve">Highlight even numbers only </t>
  </si>
  <si>
    <t>Highlight top values (dynamic example)</t>
  </si>
  <si>
    <t>Highlight top</t>
  </si>
  <si>
    <t>Values</t>
  </si>
  <si>
    <t>Smallest bottom values (dynamic example)</t>
  </si>
  <si>
    <t>Smallest bottom</t>
  </si>
  <si>
    <t>Highlight cells based on below letter</t>
  </si>
  <si>
    <t>&lt;--- Enter a Letter</t>
  </si>
  <si>
    <t>Alan Gillingham</t>
  </si>
  <si>
    <t>Tammy Philpot</t>
  </si>
  <si>
    <t>Wendy Lauver</t>
  </si>
  <si>
    <t>Diane Willis</t>
  </si>
  <si>
    <t>David Martin</t>
  </si>
  <si>
    <t>Frank Mcmullan</t>
  </si>
  <si>
    <t>Wilma Barbeau</t>
  </si>
  <si>
    <t>Mary Repass</t>
  </si>
  <si>
    <t>Claudette Juarez</t>
  </si>
  <si>
    <t>Laticia Rosenberger</t>
  </si>
  <si>
    <t>Joseph Parks</t>
  </si>
  <si>
    <t>James Gentry</t>
  </si>
  <si>
    <t>Willie U. Powers</t>
  </si>
  <si>
    <t>Harry Wood</t>
  </si>
  <si>
    <t>Ethel Spencer</t>
  </si>
  <si>
    <t>Caroline Mcguire</t>
  </si>
  <si>
    <t>Scott P. Flynn</t>
  </si>
  <si>
    <t>David J. Bowley</t>
  </si>
  <si>
    <t>Mary England</t>
  </si>
  <si>
    <t>Charles B. Gregg</t>
  </si>
  <si>
    <t>Clifford D. Smith</t>
  </si>
  <si>
    <t>Deanna I. Davis</t>
  </si>
  <si>
    <t>Rachel Shaffer</t>
  </si>
  <si>
    <t>Richard E. Fredericks</t>
  </si>
  <si>
    <t>David Flowers</t>
  </si>
  <si>
    <t>Marvin H. Mcquillen</t>
  </si>
  <si>
    <t>Isidro E. Jensen</t>
  </si>
  <si>
    <t>Timothy I. Sheeran</t>
  </si>
  <si>
    <t>Jeanne Cosme</t>
  </si>
  <si>
    <t>Maureen S. Hudson</t>
  </si>
  <si>
    <t>Amy Brown</t>
  </si>
  <si>
    <t>Francisco Elder</t>
  </si>
  <si>
    <t>Violet Lee</t>
  </si>
  <si>
    <t>Christopher Brewer</t>
  </si>
  <si>
    <t>Michael L. Eubank</t>
  </si>
  <si>
    <t>Mary Dailey</t>
  </si>
  <si>
    <t>Elizabeth Brown</t>
  </si>
  <si>
    <t>Taylor Rice</t>
  </si>
  <si>
    <t>Thomas Armijo</t>
  </si>
  <si>
    <t>Charlie B. Stine</t>
  </si>
  <si>
    <t>Andre Flores</t>
  </si>
  <si>
    <t>Alfonzo Coulter</t>
  </si>
  <si>
    <t>Joy Franklin</t>
  </si>
  <si>
    <t>Justine Vargas</t>
  </si>
  <si>
    <t>John Toth</t>
  </si>
  <si>
    <t>Gregory Reese</t>
  </si>
  <si>
    <t>Tim Q. Lowery</t>
  </si>
  <si>
    <t>Doris Howe</t>
  </si>
  <si>
    <t>Carolyn Baker</t>
  </si>
  <si>
    <t>John I. Jimenez</t>
  </si>
  <si>
    <t>Maria Pilon</t>
  </si>
  <si>
    <t>Lucille T. Coward</t>
  </si>
  <si>
    <t>Jean Schwab</t>
  </si>
  <si>
    <t>Lauren Rosa</t>
  </si>
  <si>
    <t>Anna Goodwin</t>
  </si>
  <si>
    <t>Don Blake</t>
  </si>
  <si>
    <t>Denise N. Page</t>
  </si>
  <si>
    <t>Christopher R. Drake</t>
  </si>
  <si>
    <t>Linda Sanders</t>
  </si>
  <si>
    <t>Sarah Alonso</t>
  </si>
  <si>
    <t>Paul L. Marks</t>
  </si>
  <si>
    <t>Delia Ware</t>
  </si>
  <si>
    <t>Mario Sherer</t>
  </si>
  <si>
    <t>Jennifer Schoonmaker</t>
  </si>
  <si>
    <t>Michael Borg</t>
  </si>
  <si>
    <t>Leon Gibson</t>
  </si>
  <si>
    <t>Donald Dehaven</t>
  </si>
  <si>
    <t>Hattie Herrera</t>
  </si>
  <si>
    <t>Donna M. Forehand</t>
  </si>
  <si>
    <t>Paul Hamilton</t>
  </si>
  <si>
    <t>William Mckinstry</t>
  </si>
  <si>
    <t>Gerald Trujillo</t>
  </si>
  <si>
    <t>Stephen J. Guajardo</t>
  </si>
  <si>
    <t>Santos H. Purdie</t>
  </si>
  <si>
    <t>William Hartzler</t>
  </si>
  <si>
    <t>Lawrence Ober</t>
  </si>
  <si>
    <t>Jeffrey Barnes</t>
  </si>
  <si>
    <t>Lucille H. Pack</t>
  </si>
  <si>
    <t>Angel C. Lemos</t>
  </si>
  <si>
    <t>Velma Fincher</t>
  </si>
  <si>
    <t>Jay Brown</t>
  </si>
  <si>
    <t>Beth Martin</t>
  </si>
  <si>
    <t>Diane Acevedo</t>
  </si>
  <si>
    <t>Andrew Gordon</t>
  </si>
  <si>
    <t>Jennifer Machen</t>
  </si>
  <si>
    <t>Gregory Davis</t>
  </si>
  <si>
    <t>Armando U. Taylor</t>
  </si>
  <si>
    <t>Douglas Snipes</t>
  </si>
  <si>
    <t>Evette Jeffords</t>
  </si>
  <si>
    <t>James B. Metcalfe</t>
  </si>
  <si>
    <t>Kathryn William</t>
  </si>
  <si>
    <t>Highlight cells based on below condition</t>
  </si>
  <si>
    <t>&gt;50</t>
  </si>
  <si>
    <t>&lt;--- Enter a condition</t>
  </si>
  <si>
    <t>&gt;60</t>
  </si>
  <si>
    <t>Compare different Product Criteria by using a rating scale</t>
  </si>
  <si>
    <t xml:space="preserve"> </t>
  </si>
  <si>
    <t>Product</t>
  </si>
  <si>
    <t>Shifting</t>
  </si>
  <si>
    <t>Brakes</t>
  </si>
  <si>
    <t>Handle
Bars</t>
  </si>
  <si>
    <t>Seat</t>
  </si>
  <si>
    <t>Frequency
of Repair</t>
  </si>
  <si>
    <t>Overall
Score</t>
  </si>
  <si>
    <t>Mountain Bike</t>
  </si>
  <si>
    <t>Comfort Rider</t>
  </si>
  <si>
    <t>Hybrid</t>
  </si>
  <si>
    <t>Road Bike</t>
  </si>
  <si>
    <t>Recumbant</t>
  </si>
  <si>
    <t>Unicycle</t>
  </si>
  <si>
    <t>Highlight rows when the delivery date is 5/5/2025</t>
  </si>
  <si>
    <t>Date of Sales</t>
  </si>
  <si>
    <t>Highlight dates based on the current date</t>
  </si>
  <si>
    <t>Date =today</t>
  </si>
  <si>
    <t>Date &gt; today</t>
  </si>
  <si>
    <t>Date &lt; today</t>
  </si>
  <si>
    <t>All in one</t>
  </si>
  <si>
    <t>Add a check mark in Column A if all cells in a row are filled in with data, an exclamation mark if some cells are blank, and a cross icon if all cells in a row are blank.</t>
  </si>
  <si>
    <t>Icon</t>
  </si>
  <si>
    <t>InStock</t>
  </si>
  <si>
    <t>Highlight column differences </t>
  </si>
  <si>
    <t>Berkshine Hathaway</t>
  </si>
  <si>
    <t>Chevron</t>
  </si>
  <si>
    <t>Chevron Inc.</t>
  </si>
  <si>
    <t>CitiGroup</t>
  </si>
  <si>
    <t>Exxon Mobil</t>
  </si>
  <si>
    <t>General Electric</t>
  </si>
  <si>
    <t>JPMorgan Chase</t>
  </si>
  <si>
    <t>JP Morgan Chase</t>
  </si>
  <si>
    <t>Verizon Communications</t>
  </si>
  <si>
    <t>Wal-Mart Stores</t>
  </si>
  <si>
    <t>WalMart Stores</t>
  </si>
  <si>
    <t>Wells Fargo</t>
  </si>
  <si>
    <t>Display only one green icon besides the numbers &gt;80</t>
  </si>
  <si>
    <t>x</t>
  </si>
  <si>
    <t>Add a green flag to column A when a certain product is delivered, i.e. there is any value in the corresponding cell in column D (Delivery Date). If there is no value in column D, a red flag should be placed in column A.</t>
  </si>
  <si>
    <t>Add a green flag to column A when a certain product is delivered, i.e. there is any value in the corresponding cell in column  (Delivery Date). If there is no value in column (Delivery Date), a red flag should be placed in column (Icon).</t>
  </si>
  <si>
    <t>Highlight only Weekend Days.</t>
  </si>
  <si>
    <t>important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</si>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</sst>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 Excellent&quot;"/>
    <numFmt numFmtId="165" formatCode="&quot; Very Good&quot;"/>
    <numFmt numFmtId="166" formatCode="&quot; Good&quot;"/>
    <numFmt numFmtId="167" formatCode="&quot; Fair&quot;"/>
    <numFmt numFmtId="168" formatCode="&quot; Poor&quot;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2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sz val="3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5" fillId="0" borderId="0" xfId="0" applyFont="1" applyAlignment="1">
      <alignment vertical="center"/>
    </xf>
    <xf numFmtId="0" fontId="0" fillId="3" borderId="0" xfId="0" applyFill="1"/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0" fontId="1" fillId="0" borderId="1" xfId="0" applyFont="1" applyBorder="1"/>
    <xf numFmtId="0" fontId="7" fillId="0" borderId="0" xfId="0" applyFont="1"/>
    <xf numFmtId="0" fontId="7" fillId="3" borderId="0" xfId="0" applyFont="1" applyFill="1"/>
    <xf numFmtId="0" fontId="0" fillId="0" borderId="1" xfId="0" applyBorder="1"/>
    <xf numFmtId="0" fontId="2" fillId="0" borderId="0" xfId="0" applyFont="1"/>
    <xf numFmtId="0" fontId="2" fillId="3" borderId="0" xfId="0" applyFont="1" applyFill="1" applyAlignment="1">
      <alignment horizontal="center"/>
    </xf>
    <xf numFmtId="0" fontId="8" fillId="8" borderId="12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0" fillId="3" borderId="0" xfId="0" applyFill="1" applyAlignment="1">
      <alignment horizontal="center"/>
    </xf>
    <xf numFmtId="164" fontId="9" fillId="4" borderId="0" xfId="0" applyNumberFormat="1" applyFont="1" applyFill="1" applyAlignment="1">
      <alignment horizontal="left" vertical="center"/>
    </xf>
    <xf numFmtId="165" fontId="9" fillId="4" borderId="0" xfId="0" applyNumberFormat="1" applyFont="1" applyFill="1" applyAlignment="1">
      <alignment horizontal="left" vertical="center"/>
    </xf>
    <xf numFmtId="166" fontId="9" fillId="4" borderId="0" xfId="0" applyNumberFormat="1" applyFont="1" applyFill="1" applyAlignment="1">
      <alignment horizontal="left" vertical="center"/>
    </xf>
    <xf numFmtId="167" fontId="9" fillId="4" borderId="0" xfId="0" applyNumberFormat="1" applyFont="1" applyFill="1" applyAlignment="1">
      <alignment horizontal="left" vertical="center"/>
    </xf>
    <xf numFmtId="168" fontId="9" fillId="4" borderId="0" xfId="0" applyNumberFormat="1" applyFont="1" applyFill="1" applyAlignment="1">
      <alignment horizontal="left" vertical="center"/>
    </xf>
    <xf numFmtId="0" fontId="10" fillId="4" borderId="0" xfId="0" applyFont="1" applyFill="1"/>
    <xf numFmtId="0" fontId="11" fillId="9" borderId="14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5" borderId="0" xfId="0" applyFont="1" applyFill="1" applyAlignment="1">
      <alignment vertical="center" wrapText="1"/>
    </xf>
    <xf numFmtId="0" fontId="0" fillId="0" borderId="9" xfId="0" applyBorder="1" applyAlignment="1">
      <alignment vertical="center" wrapText="1"/>
    </xf>
    <xf numFmtId="14" fontId="0" fillId="0" borderId="21" xfId="0" applyNumberFormat="1" applyBorder="1"/>
    <xf numFmtId="14" fontId="0" fillId="0" borderId="10" xfId="0" applyNumberFormat="1" applyBorder="1"/>
    <xf numFmtId="0" fontId="0" fillId="0" borderId="9" xfId="0" applyBorder="1" applyAlignment="1">
      <alignment horizontal="center" vertical="center" wrapText="1"/>
    </xf>
    <xf numFmtId="14" fontId="0" fillId="0" borderId="21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3" xfId="0" applyBorder="1" applyAlignment="1">
      <alignment vertical="center" wrapText="1"/>
    </xf>
    <xf numFmtId="14" fontId="0" fillId="0" borderId="4" xfId="0" applyNumberFormat="1" applyBorder="1"/>
    <xf numFmtId="0" fontId="0" fillId="0" borderId="3" xfId="0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vertical="center" wrapText="1"/>
    </xf>
    <xf numFmtId="14" fontId="0" fillId="0" borderId="11" xfId="0" applyNumberFormat="1" applyBorder="1"/>
    <xf numFmtId="14" fontId="0" fillId="0" borderId="6" xfId="0" applyNumberFormat="1" applyBorder="1"/>
    <xf numFmtId="0" fontId="0" fillId="0" borderId="5" xfId="0" applyBorder="1" applyAlignment="1">
      <alignment horizontal="center" vertical="center" wrapText="1"/>
    </xf>
    <xf numFmtId="14" fontId="0" fillId="0" borderId="11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1" fillId="10" borderId="22" xfId="0" applyFont="1" applyFill="1" applyBorder="1"/>
    <xf numFmtId="14" fontId="0" fillId="0" borderId="23" xfId="0" applyNumberFormat="1" applyBorder="1"/>
    <xf numFmtId="14" fontId="0" fillId="0" borderId="22" xfId="0" applyNumberFormat="1" applyBorder="1"/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5" borderId="9" xfId="0" applyFont="1" applyFill="1" applyBorder="1" applyAlignment="1">
      <alignment vertical="center" wrapText="1"/>
    </xf>
    <xf numFmtId="0" fontId="1" fillId="5" borderId="21" xfId="0" applyFont="1" applyFill="1" applyBorder="1" applyAlignment="1">
      <alignment vertical="center" wrapText="1"/>
    </xf>
    <xf numFmtId="0" fontId="1" fillId="5" borderId="21" xfId="0" applyFont="1" applyFill="1" applyBorder="1"/>
    <xf numFmtId="0" fontId="1" fillId="5" borderId="10" xfId="0" applyFont="1" applyFill="1" applyBorder="1"/>
    <xf numFmtId="14" fontId="0" fillId="0" borderId="9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30" xfId="0" applyNumberFormat="1" applyBorder="1" applyAlignment="1">
      <alignment horizontal="center"/>
    </xf>
    <xf numFmtId="14" fontId="0" fillId="0" borderId="31" xfId="0" applyNumberFormat="1" applyBorder="1" applyAlignment="1">
      <alignment horizontal="center"/>
    </xf>
    <xf numFmtId="14" fontId="0" fillId="0" borderId="32" xfId="0" applyNumberFormat="1" applyBorder="1" applyAlignment="1">
      <alignment horizontal="center"/>
    </xf>
    <xf numFmtId="14" fontId="0" fillId="0" borderId="27" xfId="0" applyNumberFormat="1" applyBorder="1" applyAlignment="1">
      <alignment horizontal="center"/>
    </xf>
    <xf numFmtId="14" fontId="0" fillId="0" borderId="33" xfId="0" applyNumberFormat="1" applyBorder="1" applyAlignment="1">
      <alignment horizontal="center"/>
    </xf>
    <xf numFmtId="0" fontId="4" fillId="4" borderId="1" xfId="0" applyFont="1" applyFill="1" applyBorder="1" applyAlignment="1">
      <alignment horizontal="left" vertical="top" wrapText="1"/>
    </xf>
    <xf numFmtId="0" fontId="4" fillId="4" borderId="13" xfId="0" applyFont="1" applyFill="1" applyBorder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4" fillId="4" borderId="17" xfId="0" applyFont="1" applyFill="1" applyBorder="1" applyAlignment="1">
      <alignment horizontal="left" vertical="center" wrapText="1"/>
    </xf>
    <xf numFmtId="0" fontId="4" fillId="4" borderId="24" xfId="0" applyFont="1" applyFill="1" applyBorder="1" applyAlignment="1">
      <alignment horizontal="left" vertical="center" wrapText="1"/>
    </xf>
    <xf numFmtId="0" fontId="4" fillId="4" borderId="16" xfId="0" applyFont="1" applyFill="1" applyBorder="1" applyAlignment="1">
      <alignment horizontal="left" vertical="center" wrapText="1"/>
    </xf>
    <xf numFmtId="0" fontId="4" fillId="4" borderId="19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vertical="top" wrapText="1"/>
    </xf>
    <xf numFmtId="0" fontId="4" fillId="4" borderId="25" xfId="0" applyFont="1" applyFill="1" applyBorder="1" applyAlignment="1">
      <alignment vertical="top" wrapText="1"/>
    </xf>
    <xf numFmtId="0" fontId="4" fillId="4" borderId="26" xfId="0" applyFont="1" applyFill="1" applyBorder="1" applyAlignment="1">
      <alignment horizontal="left" vertical="center" wrapText="1"/>
    </xf>
    <xf numFmtId="0" fontId="4" fillId="4" borderId="27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13" fillId="11" borderId="13" xfId="0" applyFont="1" applyFill="1" applyBorder="1" applyAlignment="1">
      <alignment horizontal="center" vertical="center"/>
    </xf>
    <xf numFmtId="0" fontId="13" fillId="11" borderId="0" xfId="0" applyFont="1" applyFill="1" applyAlignment="1">
      <alignment horizontal="center" vertical="center"/>
    </xf>
  </cellXfs>
  <cellStyles count="1">
    <cellStyle name="Normal" xfId="0" builtinId="0"/>
  </cellStyles>
  <dxfs count="2525">
    <dxf>
      <font>
        <b/>
        <i/>
        <color theme="0"/>
      </font>
      <fill>
        <patternFill>
          <bgColor rgb="FF7030A0"/>
        </patternFill>
      </fill>
      <border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/>
      </font>
      <fill>
        <gradientFill degree="90">
          <stop position="0">
            <color theme="6" tint="-0.25098422193060094"/>
          </stop>
          <stop position="1">
            <color theme="2" tint="-0.25098422193060094"/>
          </stop>
        </gradient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</font>
      <fill>
        <gradientFill degree="90">
          <stop position="0">
            <color theme="6" tint="-0.25098422193060094"/>
          </stop>
          <stop position="1">
            <color theme="2" tint="-0.25098422193060094"/>
          </stop>
        </gradient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</font>
      <fill>
        <gradientFill degree="90">
          <stop position="0">
            <color theme="6" tint="-0.25098422193060094"/>
          </stop>
          <stop position="1">
            <color theme="2" tint="-0.25098422193060094"/>
          </stop>
        </gradient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90">
          <stop position="0">
            <color theme="9" tint="-0.25098422193060094"/>
          </stop>
          <stop position="1">
            <color theme="9" tint="-0.49803155613879818"/>
          </stop>
        </gradientFill>
      </fill>
      <border>
        <vertical/>
        <horizontal/>
      </border>
    </dxf>
    <dxf>
      <font>
        <b/>
        <i/>
        <color theme="0"/>
      </font>
      <fill>
        <gradientFill>
          <stop position="0">
            <color theme="5" tint="0.40000610370189521"/>
          </stop>
          <stop position="1">
            <color theme="5" tint="-0.25098422193060094"/>
          </stop>
        </gradientFill>
      </fill>
    </dxf>
    <dxf>
      <font>
        <b/>
        <i/>
        <color theme="0"/>
      </font>
      <fill>
        <gradientFill>
          <stop position="0">
            <color theme="8" tint="-0.25098422193060094"/>
          </stop>
          <stop position="1">
            <color theme="4"/>
          </stop>
        </gradient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/>
        <color theme="0"/>
      </font>
      <fill>
        <gradientFill degree="135">
          <stop position="0">
            <color theme="6" tint="0.40000610370189521"/>
          </stop>
          <stop position="1">
            <color rgb="FF7030A0"/>
          </stop>
        </gradientFill>
      </fill>
      <border>
        <vertical/>
        <horizontal/>
      </border>
    </dxf>
    <dxf>
      <font>
        <b/>
        <i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b/>
        <i val="0"/>
      </font>
      <fill>
        <gradientFill type="path">
          <stop position="0">
            <color rgb="FFFF99FF"/>
          </stop>
          <stop position="1">
            <color theme="4" tint="0.40000610370189521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8"/>
        </patternFill>
      </fill>
    </dxf>
    <dxf>
      <font>
        <color theme="2" tint="-0.499984740745262"/>
      </font>
      <fill>
        <patternFill>
          <bgColor rgb="FF8F6FDF"/>
        </patternFill>
      </fill>
    </dxf>
    <dxf>
      <font>
        <color theme="0"/>
      </font>
      <fill>
        <patternFill>
          <bgColor rgb="FF660066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color theme="0"/>
      </font>
      <numFmt numFmtId="30" formatCode="@"/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 val="0"/>
        <i/>
        <color theme="0"/>
      </font>
      <fill>
        <patternFill patternType="solid">
          <fgColor theme="0"/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99FF"/>
      <color rgb="FFFF66FF"/>
      <color rgb="FF8F6FDF"/>
      <color rgb="FF660066"/>
      <color rgb="FF269292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267:G273" totalsRowShown="0" headerRowDxfId="2524" dataDxfId="2522" headerRowBorderDxfId="2523" tableBorderDxfId="2521" totalsRowBorderDxfId="2520">
  <tableColumns count="7">
    <tableColumn id="1" xr3:uid="{00000000-0010-0000-0000-000001000000}" name="Product" dataDxfId="2519"/>
    <tableColumn id="2" xr3:uid="{00000000-0010-0000-0000-000002000000}" name="Shifting" dataDxfId="2518"/>
    <tableColumn id="3" xr3:uid="{00000000-0010-0000-0000-000003000000}" name="Brakes" dataDxfId="2517"/>
    <tableColumn id="4" xr3:uid="{00000000-0010-0000-0000-000004000000}" name="Handle_x000a_Bars" dataDxfId="2516"/>
    <tableColumn id="5" xr3:uid="{00000000-0010-0000-0000-000005000000}" name="Seat" dataDxfId="2515"/>
    <tableColumn id="6" xr3:uid="{00000000-0010-0000-0000-000006000000}" name="Frequency_x000a_of Repair" dataDxfId="2514"/>
    <tableColumn id="7" xr3:uid="{00000000-0010-0000-0000-000007000000}" name="Overall_x000a_Score" dataDxfId="2513">
      <calculatedColumnFormula>AVERAGE(B268:F268)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54" displayName="Table54" ref="M267:S273" totalsRowShown="0" headerRowDxfId="2512" dataDxfId="2510" headerRowBorderDxfId="2511" tableBorderDxfId="2509" totalsRowBorderDxfId="2508">
  <tableColumns count="7">
    <tableColumn id="1" xr3:uid="{00000000-0010-0000-0100-000001000000}" name="Product" dataDxfId="2507"/>
    <tableColumn id="2" xr3:uid="{00000000-0010-0000-0100-000002000000}" name="Shifting" dataDxfId="2506"/>
    <tableColumn id="3" xr3:uid="{00000000-0010-0000-0100-000003000000}" name="Brakes" dataDxfId="2505"/>
    <tableColumn id="4" xr3:uid="{00000000-0010-0000-0100-000004000000}" name="Handle_x000a_Bars" dataDxfId="2504"/>
    <tableColumn id="5" xr3:uid="{00000000-0010-0000-0100-000005000000}" name="Seat" dataDxfId="2503"/>
    <tableColumn id="6" xr3:uid="{00000000-0010-0000-0100-000006000000}" name="Frequency_x000a_of Repair" dataDxfId="2502"/>
    <tableColumn id="7" xr3:uid="{00000000-0010-0000-0100-000007000000}" name="Overall_x000a_Score" dataDxfId="2501">
      <calculatedColumnFormula>AVERAGE(N268:R268)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5"/>
  <sheetViews>
    <sheetView tabSelected="1" topLeftCell="A387" zoomScale="63" zoomScaleNormal="70" workbookViewId="0">
      <selection activeCell="E388" sqref="E388"/>
    </sheetView>
  </sheetViews>
  <sheetFormatPr defaultRowHeight="14.5" x14ac:dyDescent="0.35"/>
  <cols>
    <col min="1" max="1" width="16.81640625" customWidth="1"/>
    <col min="2" max="2" width="23.54296875" customWidth="1"/>
    <col min="3" max="3" width="18.54296875" customWidth="1"/>
    <col min="4" max="4" width="15.7265625" bestFit="1" customWidth="1"/>
    <col min="5" max="5" width="19.26953125" bestFit="1" customWidth="1"/>
    <col min="6" max="6" width="11.54296875" customWidth="1"/>
    <col min="7" max="7" width="17.81640625" bestFit="1" customWidth="1"/>
    <col min="8" max="8" width="6.7265625" customWidth="1"/>
    <col min="9" max="9" width="7.81640625" customWidth="1"/>
    <col min="10" max="11" width="9.1796875" customWidth="1"/>
    <col min="12" max="12" width="9.1796875" style="6" customWidth="1"/>
    <col min="13" max="14" width="23.54296875" bestFit="1" customWidth="1"/>
    <col min="15" max="15" width="19.7265625" bestFit="1" customWidth="1"/>
    <col min="16" max="16" width="15.7265625" bestFit="1" customWidth="1"/>
    <col min="17" max="17" width="19.26953125" bestFit="1" customWidth="1"/>
    <col min="18" max="18" width="11.54296875" customWidth="1"/>
    <col min="19" max="19" width="17.81640625" bestFit="1" customWidth="1"/>
    <col min="20" max="20" width="6.7265625" customWidth="1"/>
    <col min="21" max="21" width="7.81640625" customWidth="1"/>
  </cols>
  <sheetData>
    <row r="1" spans="1:2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4"/>
      <c r="M1" s="1" t="s">
        <v>1</v>
      </c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</row>
    <row r="3" spans="1:25" ht="17.5" x14ac:dyDescent="0.35">
      <c r="A3" s="106" t="s">
        <v>2</v>
      </c>
      <c r="B3" s="106"/>
      <c r="C3" s="106"/>
      <c r="D3" s="106"/>
      <c r="E3" s="106"/>
      <c r="F3" s="5"/>
      <c r="M3" s="106" t="s">
        <v>2</v>
      </c>
      <c r="N3" s="106"/>
      <c r="O3" s="106"/>
      <c r="P3" s="106"/>
      <c r="Q3" s="106"/>
      <c r="R3" s="5"/>
    </row>
    <row r="4" spans="1:25" x14ac:dyDescent="0.35">
      <c r="A4" s="7" t="s">
        <v>3</v>
      </c>
      <c r="B4" s="8" t="s">
        <v>4</v>
      </c>
      <c r="C4" s="9" t="s">
        <v>5</v>
      </c>
      <c r="D4" s="9" t="s">
        <v>6</v>
      </c>
      <c r="E4" s="9" t="s">
        <v>7</v>
      </c>
      <c r="M4" s="7" t="s">
        <v>3</v>
      </c>
      <c r="N4" s="8" t="s">
        <v>4</v>
      </c>
      <c r="O4" s="9" t="s">
        <v>5</v>
      </c>
      <c r="P4" s="9" t="s">
        <v>6</v>
      </c>
      <c r="Q4" s="9" t="s">
        <v>7</v>
      </c>
    </row>
    <row r="5" spans="1:25" x14ac:dyDescent="0.35">
      <c r="A5" s="10" t="s">
        <v>8</v>
      </c>
      <c r="B5" s="10">
        <v>14</v>
      </c>
      <c r="C5" s="10">
        <v>0</v>
      </c>
      <c r="D5" s="10" t="s">
        <v>9</v>
      </c>
      <c r="E5" s="10">
        <v>12000</v>
      </c>
      <c r="M5" s="10" t="s">
        <v>8</v>
      </c>
      <c r="N5" s="10">
        <v>14</v>
      </c>
      <c r="O5" s="10">
        <v>0</v>
      </c>
      <c r="P5" s="10" t="s">
        <v>9</v>
      </c>
      <c r="Q5" s="10">
        <v>12000</v>
      </c>
    </row>
    <row r="6" spans="1:25" x14ac:dyDescent="0.35">
      <c r="A6" s="10" t="s">
        <v>10</v>
      </c>
      <c r="B6" s="10">
        <v>6</v>
      </c>
      <c r="C6" s="10">
        <v>2</v>
      </c>
      <c r="D6" s="10" t="s">
        <v>11</v>
      </c>
      <c r="E6" s="10">
        <v>8000</v>
      </c>
      <c r="M6" s="10" t="s">
        <v>10</v>
      </c>
      <c r="N6" s="10">
        <v>6</v>
      </c>
      <c r="O6" s="10">
        <v>2</v>
      </c>
      <c r="P6" s="10" t="s">
        <v>11</v>
      </c>
      <c r="Q6" s="10">
        <v>8000</v>
      </c>
    </row>
    <row r="7" spans="1:25" x14ac:dyDescent="0.35">
      <c r="A7" s="10" t="s">
        <v>12</v>
      </c>
      <c r="B7" s="10">
        <v>17</v>
      </c>
      <c r="C7" s="10">
        <v>0</v>
      </c>
      <c r="D7" s="10" t="s">
        <v>9</v>
      </c>
      <c r="E7" s="10">
        <v>3000</v>
      </c>
      <c r="M7" s="10" t="s">
        <v>12</v>
      </c>
      <c r="N7" s="10">
        <v>17</v>
      </c>
      <c r="O7" s="10">
        <v>0</v>
      </c>
      <c r="P7" s="10" t="s">
        <v>9</v>
      </c>
      <c r="Q7" s="10">
        <v>3000</v>
      </c>
    </row>
    <row r="8" spans="1:25" x14ac:dyDescent="0.35">
      <c r="A8" s="10" t="s">
        <v>13</v>
      </c>
      <c r="B8" s="10">
        <v>11</v>
      </c>
      <c r="C8" s="10">
        <v>10</v>
      </c>
      <c r="D8" s="10" t="s">
        <v>9</v>
      </c>
      <c r="E8" s="10">
        <v>14000</v>
      </c>
      <c r="M8" s="10" t="s">
        <v>13</v>
      </c>
      <c r="N8" s="10">
        <v>11</v>
      </c>
      <c r="O8" s="10">
        <v>10</v>
      </c>
      <c r="P8" s="10" t="s">
        <v>9</v>
      </c>
      <c r="Q8" s="10">
        <v>14000</v>
      </c>
    </row>
    <row r="9" spans="1:25" x14ac:dyDescent="0.35">
      <c r="A9" s="10" t="s">
        <v>14</v>
      </c>
      <c r="B9" s="10">
        <v>16</v>
      </c>
      <c r="C9" s="10">
        <v>0</v>
      </c>
      <c r="D9" s="10" t="s">
        <v>11</v>
      </c>
      <c r="E9" s="10">
        <v>7000</v>
      </c>
      <c r="M9" s="10" t="s">
        <v>14</v>
      </c>
      <c r="N9" s="10">
        <v>16</v>
      </c>
      <c r="O9" s="10">
        <v>0</v>
      </c>
      <c r="P9" s="10" t="s">
        <v>11</v>
      </c>
      <c r="Q9" s="10">
        <v>7000</v>
      </c>
    </row>
    <row r="10" spans="1:25" x14ac:dyDescent="0.35">
      <c r="A10" s="10" t="s">
        <v>15</v>
      </c>
      <c r="B10" s="10">
        <v>7</v>
      </c>
      <c r="C10" s="10">
        <v>19</v>
      </c>
      <c r="D10" s="10" t="s">
        <v>11</v>
      </c>
      <c r="E10" s="10">
        <v>8000</v>
      </c>
      <c r="M10" s="10" t="s">
        <v>15</v>
      </c>
      <c r="N10" s="10">
        <v>7</v>
      </c>
      <c r="O10" s="10">
        <v>19</v>
      </c>
      <c r="P10" s="10" t="s">
        <v>11</v>
      </c>
      <c r="Q10" s="10">
        <v>8000</v>
      </c>
    </row>
    <row r="11" spans="1:25" x14ac:dyDescent="0.35">
      <c r="A11" s="10" t="s">
        <v>16</v>
      </c>
      <c r="B11" s="10">
        <v>14</v>
      </c>
      <c r="C11" s="10">
        <v>2</v>
      </c>
      <c r="D11" s="10" t="s">
        <v>9</v>
      </c>
      <c r="E11" s="10">
        <v>2000</v>
      </c>
      <c r="M11" s="10" t="s">
        <v>16</v>
      </c>
      <c r="N11" s="10">
        <v>14</v>
      </c>
      <c r="O11" s="10">
        <v>2</v>
      </c>
      <c r="P11" s="10" t="s">
        <v>9</v>
      </c>
      <c r="Q11" s="10">
        <v>2000</v>
      </c>
    </row>
    <row r="12" spans="1:25" x14ac:dyDescent="0.35">
      <c r="A12" s="10" t="s">
        <v>17</v>
      </c>
      <c r="B12" s="10">
        <v>15</v>
      </c>
      <c r="C12" s="10">
        <v>1</v>
      </c>
      <c r="D12" s="10" t="s">
        <v>9</v>
      </c>
      <c r="E12" s="10">
        <v>10000</v>
      </c>
      <c r="M12" s="10" t="s">
        <v>17</v>
      </c>
      <c r="N12" s="10">
        <v>15</v>
      </c>
      <c r="O12" s="10">
        <v>1</v>
      </c>
      <c r="P12" s="10" t="s">
        <v>9</v>
      </c>
      <c r="Q12" s="10">
        <v>10000</v>
      </c>
    </row>
    <row r="14" spans="1:25" x14ac:dyDescent="0.35">
      <c r="A14" s="2"/>
      <c r="B14" s="2"/>
      <c r="C14" s="2"/>
      <c r="D14" s="2"/>
      <c r="E14" s="2"/>
      <c r="F14" s="2"/>
      <c r="G14" s="2"/>
      <c r="H14" s="2"/>
      <c r="I14" s="2"/>
      <c r="J14" s="3"/>
      <c r="K14" s="3"/>
      <c r="L14" s="4"/>
      <c r="M14" s="2"/>
      <c r="N14" s="2"/>
      <c r="O14" s="2"/>
      <c r="P14" s="2"/>
      <c r="Q14" s="2"/>
      <c r="R14" s="2"/>
      <c r="S14" s="2"/>
      <c r="T14" s="2"/>
      <c r="U14" s="2"/>
      <c r="V14" s="3"/>
      <c r="W14" s="3"/>
      <c r="X14" s="3"/>
      <c r="Y14" s="3"/>
    </row>
    <row r="15" spans="1:25" ht="15.5" x14ac:dyDescent="0.35">
      <c r="A15" s="106" t="s">
        <v>18</v>
      </c>
      <c r="B15" s="106"/>
      <c r="C15" s="106"/>
      <c r="D15" s="106"/>
      <c r="E15" s="106"/>
      <c r="F15" s="2"/>
      <c r="G15" s="2"/>
      <c r="H15" s="2"/>
      <c r="I15" s="2"/>
      <c r="J15" s="3"/>
      <c r="K15" s="3"/>
      <c r="L15" s="4"/>
      <c r="M15" s="106" t="s">
        <v>18</v>
      </c>
      <c r="N15" s="106"/>
      <c r="O15" s="106"/>
      <c r="P15" s="106"/>
      <c r="Q15" s="106"/>
      <c r="R15" s="2"/>
      <c r="S15" s="2"/>
      <c r="T15" s="2"/>
      <c r="U15" s="2"/>
      <c r="V15" s="3"/>
      <c r="W15" s="3"/>
      <c r="X15" s="3"/>
      <c r="Y15" s="3"/>
    </row>
    <row r="16" spans="1:25" x14ac:dyDescent="0.35">
      <c r="A16" s="11" t="s">
        <v>3</v>
      </c>
      <c r="B16" s="12" t="s">
        <v>4</v>
      </c>
      <c r="C16" s="13" t="s">
        <v>5</v>
      </c>
      <c r="D16" s="13" t="s">
        <v>6</v>
      </c>
      <c r="E16" s="13" t="s">
        <v>7</v>
      </c>
      <c r="F16" s="2"/>
      <c r="G16" s="2"/>
      <c r="H16" s="2"/>
      <c r="I16" s="2"/>
      <c r="J16" s="3"/>
      <c r="K16" s="3"/>
      <c r="L16" s="4"/>
      <c r="M16" s="11" t="s">
        <v>3</v>
      </c>
      <c r="N16" s="12" t="s">
        <v>4</v>
      </c>
      <c r="O16" s="13" t="s">
        <v>5</v>
      </c>
      <c r="P16" s="13" t="s">
        <v>6</v>
      </c>
      <c r="Q16" s="13" t="s">
        <v>7</v>
      </c>
      <c r="R16" s="2"/>
      <c r="S16" s="2"/>
      <c r="T16" s="2"/>
      <c r="U16" s="2"/>
      <c r="V16" s="3"/>
      <c r="W16" s="3"/>
      <c r="X16" s="3"/>
      <c r="Y16" s="3"/>
    </row>
    <row r="17" spans="1:25" x14ac:dyDescent="0.35">
      <c r="A17" s="10" t="s">
        <v>8</v>
      </c>
      <c r="B17" s="10">
        <v>14</v>
      </c>
      <c r="C17" s="10">
        <v>0</v>
      </c>
      <c r="D17" s="10" t="s">
        <v>9</v>
      </c>
      <c r="E17" s="10">
        <v>12000</v>
      </c>
      <c r="F17" s="2"/>
      <c r="G17" s="2"/>
      <c r="H17" s="2"/>
      <c r="I17" s="2"/>
      <c r="J17" s="3"/>
      <c r="K17" s="3"/>
      <c r="L17" s="4"/>
      <c r="M17" s="10" t="s">
        <v>8</v>
      </c>
      <c r="N17" s="10">
        <v>14</v>
      </c>
      <c r="O17" s="10">
        <v>0</v>
      </c>
      <c r="P17" s="10" t="s">
        <v>9</v>
      </c>
      <c r="Q17" s="10">
        <v>12000</v>
      </c>
      <c r="R17" s="2"/>
      <c r="S17" s="2"/>
      <c r="T17" s="2"/>
      <c r="U17" s="2"/>
      <c r="V17" s="3"/>
      <c r="W17" s="3"/>
      <c r="X17" s="3"/>
      <c r="Y17" s="3"/>
    </row>
    <row r="18" spans="1:25" x14ac:dyDescent="0.35">
      <c r="A18" s="10" t="s">
        <v>10</v>
      </c>
      <c r="B18" s="10">
        <v>6</v>
      </c>
      <c r="C18" s="10">
        <v>78</v>
      </c>
      <c r="D18" s="10" t="s">
        <v>11</v>
      </c>
      <c r="E18" s="10">
        <v>4000</v>
      </c>
      <c r="F18" s="2"/>
      <c r="G18" s="2"/>
      <c r="H18" s="2"/>
      <c r="I18" s="2"/>
      <c r="J18" s="3"/>
      <c r="K18" s="3"/>
      <c r="L18" s="4"/>
      <c r="M18" s="10" t="s">
        <v>10</v>
      </c>
      <c r="N18" s="10">
        <v>6</v>
      </c>
      <c r="O18" s="10">
        <v>2</v>
      </c>
      <c r="P18" s="10" t="s">
        <v>11</v>
      </c>
      <c r="Q18" s="10">
        <v>4000</v>
      </c>
      <c r="R18" s="2"/>
      <c r="S18" s="2"/>
      <c r="T18" s="2"/>
      <c r="U18" s="2"/>
      <c r="V18" s="3"/>
      <c r="W18" s="3"/>
      <c r="X18" s="3"/>
      <c r="Y18" s="3"/>
    </row>
    <row r="19" spans="1:25" x14ac:dyDescent="0.35">
      <c r="A19" s="10" t="s">
        <v>12</v>
      </c>
      <c r="B19" s="10">
        <v>17</v>
      </c>
      <c r="C19" s="10">
        <v>0</v>
      </c>
      <c r="D19" s="10" t="s">
        <v>9</v>
      </c>
      <c r="E19" s="10">
        <v>3000</v>
      </c>
      <c r="F19" s="2"/>
      <c r="G19" s="2"/>
      <c r="H19" s="2"/>
      <c r="I19" s="2"/>
      <c r="J19" s="3"/>
      <c r="K19" s="3"/>
      <c r="L19" s="4"/>
      <c r="M19" s="10" t="s">
        <v>12</v>
      </c>
      <c r="N19" s="10">
        <v>17</v>
      </c>
      <c r="O19" s="10">
        <v>0</v>
      </c>
      <c r="P19" s="10" t="s">
        <v>9</v>
      </c>
      <c r="Q19" s="10">
        <v>3000</v>
      </c>
      <c r="R19" s="2"/>
      <c r="S19" s="2"/>
      <c r="T19" s="2"/>
      <c r="U19" s="2"/>
      <c r="V19" s="3"/>
      <c r="W19" s="3"/>
      <c r="X19" s="3"/>
      <c r="Y19" s="3"/>
    </row>
    <row r="20" spans="1:25" x14ac:dyDescent="0.35">
      <c r="A20" s="10" t="s">
        <v>13</v>
      </c>
      <c r="B20" s="10">
        <v>11</v>
      </c>
      <c r="C20" s="10">
        <v>7</v>
      </c>
      <c r="D20" s="10" t="s">
        <v>9</v>
      </c>
      <c r="E20" s="10">
        <v>14000</v>
      </c>
      <c r="F20" s="2"/>
      <c r="G20" s="2"/>
      <c r="H20" s="2"/>
      <c r="I20" s="2"/>
      <c r="J20" s="3"/>
      <c r="K20" s="3"/>
      <c r="L20" s="4"/>
      <c r="M20" s="10" t="s">
        <v>13</v>
      </c>
      <c r="N20" s="10">
        <v>11</v>
      </c>
      <c r="O20" s="10">
        <v>10</v>
      </c>
      <c r="P20" s="10" t="s">
        <v>9</v>
      </c>
      <c r="Q20" s="10">
        <v>14000</v>
      </c>
      <c r="R20" s="2"/>
      <c r="S20" s="2"/>
      <c r="T20" s="2"/>
      <c r="U20" s="2"/>
      <c r="V20" s="3"/>
      <c r="W20" s="3"/>
      <c r="X20" s="3"/>
      <c r="Y20" s="3"/>
    </row>
    <row r="21" spans="1:25" x14ac:dyDescent="0.35">
      <c r="A21" s="10" t="s">
        <v>14</v>
      </c>
      <c r="B21" s="10">
        <v>16</v>
      </c>
      <c r="C21" s="10">
        <v>0</v>
      </c>
      <c r="D21" s="10" t="s">
        <v>11</v>
      </c>
      <c r="E21" s="10">
        <v>7000</v>
      </c>
      <c r="F21" s="2"/>
      <c r="G21" s="2"/>
      <c r="H21" s="2"/>
      <c r="I21" s="2"/>
      <c r="J21" s="3"/>
      <c r="K21" s="3"/>
      <c r="L21" s="4"/>
      <c r="M21" s="10" t="s">
        <v>14</v>
      </c>
      <c r="N21" s="10">
        <v>16</v>
      </c>
      <c r="O21" s="10">
        <v>0</v>
      </c>
      <c r="P21" s="10" t="s">
        <v>11</v>
      </c>
      <c r="Q21" s="10">
        <v>7000</v>
      </c>
      <c r="R21" s="2"/>
      <c r="S21" s="2"/>
      <c r="T21" s="2"/>
      <c r="U21" s="2"/>
      <c r="V21" s="3"/>
      <c r="W21" s="3"/>
      <c r="X21" s="3"/>
      <c r="Y21" s="3"/>
    </row>
    <row r="22" spans="1:25" x14ac:dyDescent="0.35">
      <c r="A22" s="10" t="s">
        <v>15</v>
      </c>
      <c r="B22" s="10">
        <v>7</v>
      </c>
      <c r="C22" s="10">
        <v>0</v>
      </c>
      <c r="D22" s="10" t="s">
        <v>11</v>
      </c>
      <c r="E22" s="10">
        <v>8000</v>
      </c>
      <c r="F22" s="2"/>
      <c r="G22" s="2"/>
      <c r="H22" s="2"/>
      <c r="I22" s="2"/>
      <c r="J22" s="3"/>
      <c r="K22" s="3"/>
      <c r="L22" s="4"/>
      <c r="M22" s="10" t="s">
        <v>15</v>
      </c>
      <c r="N22" s="10">
        <v>7</v>
      </c>
      <c r="O22" s="10">
        <v>0</v>
      </c>
      <c r="P22" s="10" t="s">
        <v>11</v>
      </c>
      <c r="Q22" s="10">
        <v>8000</v>
      </c>
      <c r="R22" s="2"/>
      <c r="S22" s="2"/>
      <c r="T22" s="2"/>
      <c r="U22" s="2"/>
      <c r="V22" s="3"/>
      <c r="W22" s="3"/>
      <c r="X22" s="3"/>
      <c r="Y22" s="3"/>
    </row>
    <row r="23" spans="1:25" x14ac:dyDescent="0.35">
      <c r="A23" s="10" t="s">
        <v>16</v>
      </c>
      <c r="B23" s="10">
        <v>14</v>
      </c>
      <c r="C23" s="10">
        <v>2</v>
      </c>
      <c r="D23" s="10" t="s">
        <v>9</v>
      </c>
      <c r="E23" s="10">
        <v>2000</v>
      </c>
      <c r="F23" s="2"/>
      <c r="G23" s="2"/>
      <c r="H23" s="2"/>
      <c r="I23" s="2"/>
      <c r="J23" s="3"/>
      <c r="K23" s="3"/>
      <c r="L23" s="4"/>
      <c r="M23" s="10" t="s">
        <v>16</v>
      </c>
      <c r="N23" s="10">
        <v>14</v>
      </c>
      <c r="O23" s="10">
        <v>2</v>
      </c>
      <c r="P23" s="10" t="s">
        <v>9</v>
      </c>
      <c r="Q23" s="10">
        <v>2000</v>
      </c>
      <c r="R23" s="2"/>
      <c r="S23" s="2"/>
      <c r="T23" s="2"/>
      <c r="U23" s="2"/>
      <c r="V23" s="3"/>
      <c r="W23" s="3"/>
      <c r="X23" s="3"/>
      <c r="Y23" s="3"/>
    </row>
    <row r="24" spans="1:25" x14ac:dyDescent="0.35">
      <c r="A24" s="10" t="s">
        <v>17</v>
      </c>
      <c r="B24" s="10">
        <v>15</v>
      </c>
      <c r="C24" s="10">
        <v>0</v>
      </c>
      <c r="D24" s="10" t="s">
        <v>9</v>
      </c>
      <c r="E24" s="10">
        <v>10000</v>
      </c>
      <c r="F24" s="2"/>
      <c r="G24" s="2"/>
      <c r="H24" s="2"/>
      <c r="I24" s="2"/>
      <c r="J24" s="3"/>
      <c r="K24" s="3"/>
      <c r="L24" s="4"/>
      <c r="M24" s="10" t="s">
        <v>17</v>
      </c>
      <c r="N24" s="10">
        <v>15</v>
      </c>
      <c r="O24" s="10">
        <v>1</v>
      </c>
      <c r="P24" s="10" t="s">
        <v>9</v>
      </c>
      <c r="Q24" s="10">
        <v>10000</v>
      </c>
      <c r="R24" s="2"/>
      <c r="S24" s="2"/>
      <c r="T24" s="2"/>
      <c r="U24" s="2"/>
      <c r="V24" s="3"/>
      <c r="W24" s="3"/>
      <c r="X24" s="3"/>
      <c r="Y24" s="3"/>
    </row>
    <row r="25" spans="1:25" x14ac:dyDescent="0.35">
      <c r="F25" s="2"/>
      <c r="G25" s="2"/>
      <c r="H25" s="2"/>
      <c r="I25" s="2"/>
      <c r="J25" s="3"/>
      <c r="K25" s="3"/>
      <c r="L25" s="4"/>
      <c r="R25" s="2"/>
      <c r="S25" s="2"/>
      <c r="T25" s="2"/>
      <c r="U25" s="2"/>
      <c r="V25" s="3"/>
      <c r="W25" s="3"/>
      <c r="X25" s="3"/>
      <c r="Y25" s="3"/>
    </row>
    <row r="26" spans="1:25" x14ac:dyDescent="0.35">
      <c r="F26" s="2"/>
      <c r="G26" s="2"/>
      <c r="H26" s="2"/>
      <c r="I26" s="2"/>
      <c r="J26" s="3"/>
      <c r="K26" s="3"/>
      <c r="L26" s="4"/>
      <c r="R26" s="2"/>
      <c r="S26" s="2"/>
      <c r="T26" s="2"/>
      <c r="U26" s="2"/>
      <c r="V26" s="3"/>
      <c r="W26" s="3"/>
      <c r="X26" s="3"/>
      <c r="Y26" s="3"/>
    </row>
    <row r="27" spans="1:25" ht="15.5" x14ac:dyDescent="0.35">
      <c r="A27" s="106" t="s">
        <v>19</v>
      </c>
      <c r="B27" s="106"/>
      <c r="C27" s="106"/>
      <c r="F27" s="2"/>
      <c r="G27" s="2"/>
      <c r="H27" s="2"/>
      <c r="I27" s="2"/>
      <c r="J27" s="3"/>
      <c r="K27" s="3"/>
      <c r="L27" s="4"/>
      <c r="M27" s="106" t="s">
        <v>19</v>
      </c>
      <c r="N27" s="106"/>
      <c r="O27" s="106"/>
      <c r="R27" s="2"/>
      <c r="S27" s="2"/>
      <c r="T27" s="2"/>
      <c r="U27" s="2"/>
      <c r="V27" s="3"/>
      <c r="W27" s="3"/>
      <c r="X27" s="3"/>
      <c r="Y27" s="3"/>
    </row>
    <row r="28" spans="1:25" ht="15.5" x14ac:dyDescent="0.35">
      <c r="B28" s="14" t="s">
        <v>20</v>
      </c>
      <c r="C28" s="15" t="s">
        <v>21</v>
      </c>
      <c r="F28" s="2"/>
      <c r="G28" s="2"/>
      <c r="H28" s="2"/>
      <c r="I28" s="2"/>
      <c r="J28" s="3"/>
      <c r="K28" s="3"/>
      <c r="L28" s="4"/>
      <c r="N28" s="14" t="s">
        <v>20</v>
      </c>
      <c r="O28" s="15" t="s">
        <v>21</v>
      </c>
      <c r="R28" s="2"/>
      <c r="S28" s="2"/>
      <c r="T28" s="2"/>
      <c r="U28" s="2"/>
      <c r="V28" s="3"/>
      <c r="W28" s="3"/>
      <c r="X28" s="3"/>
      <c r="Y28" s="3"/>
    </row>
    <row r="29" spans="1:25" x14ac:dyDescent="0.35">
      <c r="B29" s="10">
        <v>1</v>
      </c>
      <c r="C29" s="10">
        <v>2</v>
      </c>
      <c r="F29" s="2"/>
      <c r="G29" s="2"/>
      <c r="H29" s="2"/>
      <c r="I29" s="2"/>
      <c r="J29" s="3"/>
      <c r="K29" s="3"/>
      <c r="L29" s="4"/>
      <c r="N29" s="10">
        <v>1</v>
      </c>
      <c r="O29" s="10">
        <v>2</v>
      </c>
      <c r="R29" s="2"/>
      <c r="S29" s="2"/>
      <c r="T29" s="2"/>
      <c r="U29" s="2"/>
      <c r="V29" s="3"/>
      <c r="W29" s="3"/>
      <c r="X29" s="3"/>
      <c r="Y29" s="3"/>
    </row>
    <row r="30" spans="1:25" x14ac:dyDescent="0.35">
      <c r="B30" s="10">
        <v>2</v>
      </c>
      <c r="C30" s="10">
        <v>8</v>
      </c>
      <c r="F30" s="2"/>
      <c r="G30" s="2"/>
      <c r="H30" s="2"/>
      <c r="I30" s="2"/>
      <c r="J30" s="3"/>
      <c r="K30" s="3"/>
      <c r="L30" s="4"/>
      <c r="N30" s="10">
        <v>2</v>
      </c>
      <c r="O30" s="10">
        <v>8</v>
      </c>
      <c r="R30" s="2"/>
      <c r="S30" s="2"/>
      <c r="T30" s="2"/>
      <c r="U30" s="2"/>
      <c r="V30" s="3"/>
      <c r="W30" s="3"/>
      <c r="X30" s="3"/>
      <c r="Y30" s="3"/>
    </row>
    <row r="31" spans="1:25" x14ac:dyDescent="0.35">
      <c r="B31" s="10">
        <v>80</v>
      </c>
      <c r="C31" s="10">
        <v>60</v>
      </c>
      <c r="F31" s="2"/>
      <c r="G31" s="2"/>
      <c r="H31" s="2"/>
      <c r="I31" s="2"/>
      <c r="J31" s="3"/>
      <c r="K31" s="3"/>
      <c r="L31" s="4"/>
      <c r="N31" s="10">
        <v>80</v>
      </c>
      <c r="O31" s="10">
        <v>60</v>
      </c>
      <c r="R31" s="2"/>
      <c r="S31" s="2"/>
      <c r="T31" s="2"/>
      <c r="U31" s="2"/>
      <c r="V31" s="3"/>
      <c r="W31" s="3"/>
      <c r="X31" s="3"/>
      <c r="Y31" s="3"/>
    </row>
    <row r="32" spans="1:25" x14ac:dyDescent="0.35">
      <c r="B32" s="10">
        <v>20</v>
      </c>
      <c r="C32" s="10">
        <v>30</v>
      </c>
      <c r="F32" s="2"/>
      <c r="G32" s="2"/>
      <c r="H32" s="2"/>
      <c r="I32" s="2"/>
      <c r="J32" s="3"/>
      <c r="K32" s="3"/>
      <c r="L32" s="4"/>
      <c r="N32" s="10">
        <v>20</v>
      </c>
      <c r="O32" s="10">
        <v>30</v>
      </c>
      <c r="R32" s="2"/>
      <c r="S32" s="2"/>
      <c r="T32" s="2"/>
      <c r="U32" s="2"/>
      <c r="V32" s="3"/>
      <c r="W32" s="3"/>
      <c r="X32" s="3"/>
      <c r="Y32" s="3"/>
    </row>
    <row r="33" spans="1:25" x14ac:dyDescent="0.35">
      <c r="B33" s="10">
        <v>50</v>
      </c>
      <c r="C33" s="10">
        <v>4</v>
      </c>
      <c r="F33" s="2"/>
      <c r="G33" s="2"/>
      <c r="H33" s="2"/>
      <c r="I33" s="2"/>
      <c r="J33" s="3"/>
      <c r="K33" s="3"/>
      <c r="L33" s="4"/>
      <c r="N33" s="10">
        <v>50</v>
      </c>
      <c r="O33" s="10">
        <v>4</v>
      </c>
      <c r="R33" s="2"/>
      <c r="S33" s="2"/>
      <c r="T33" s="2"/>
      <c r="U33" s="2"/>
      <c r="V33" s="3"/>
      <c r="W33" s="3"/>
      <c r="X33" s="3"/>
      <c r="Y33" s="3"/>
    </row>
    <row r="34" spans="1:25" x14ac:dyDescent="0.35">
      <c r="B34" s="10">
        <v>8</v>
      </c>
      <c r="C34" s="10">
        <v>3</v>
      </c>
      <c r="F34" s="2"/>
      <c r="G34" s="2"/>
      <c r="H34" s="2"/>
      <c r="I34" s="2"/>
      <c r="J34" s="3"/>
      <c r="K34" s="3"/>
      <c r="L34" s="4"/>
      <c r="N34" s="10">
        <v>8</v>
      </c>
      <c r="O34" s="10">
        <v>3</v>
      </c>
      <c r="R34" s="2"/>
      <c r="S34" s="2"/>
      <c r="T34" s="2"/>
      <c r="U34" s="2"/>
      <c r="V34" s="3"/>
      <c r="W34" s="3"/>
      <c r="X34" s="3"/>
      <c r="Y34" s="3"/>
    </row>
    <row r="35" spans="1:25" x14ac:dyDescent="0.35">
      <c r="B35" s="10">
        <v>90</v>
      </c>
      <c r="C35" s="10">
        <v>8</v>
      </c>
      <c r="F35" s="2"/>
      <c r="G35" s="2"/>
      <c r="H35" s="2"/>
      <c r="I35" s="2"/>
      <c r="J35" s="3"/>
      <c r="K35" s="3"/>
      <c r="L35" s="4"/>
      <c r="N35" s="10">
        <v>90</v>
      </c>
      <c r="O35" s="10">
        <v>8</v>
      </c>
      <c r="R35" s="2"/>
      <c r="S35" s="2"/>
      <c r="T35" s="2"/>
      <c r="U35" s="2"/>
      <c r="V35" s="3"/>
      <c r="W35" s="3"/>
      <c r="X35" s="3"/>
      <c r="Y35" s="3"/>
    </row>
    <row r="36" spans="1:25" x14ac:dyDescent="0.35">
      <c r="F36" s="2"/>
      <c r="G36" s="2"/>
      <c r="H36" s="2"/>
      <c r="I36" s="2"/>
      <c r="J36" s="3"/>
      <c r="K36" s="3"/>
      <c r="L36" s="4"/>
      <c r="R36" s="2"/>
      <c r="S36" s="2"/>
      <c r="T36" s="2"/>
      <c r="U36" s="2"/>
      <c r="V36" s="3"/>
      <c r="W36" s="3"/>
      <c r="X36" s="3"/>
      <c r="Y36" s="3"/>
    </row>
    <row r="37" spans="1:25" x14ac:dyDescent="0.35">
      <c r="F37" s="2"/>
      <c r="G37" s="2"/>
      <c r="H37" s="2"/>
      <c r="I37" s="2"/>
      <c r="J37" s="3"/>
      <c r="K37" s="3"/>
      <c r="L37" s="4"/>
      <c r="R37" s="2"/>
      <c r="S37" s="2"/>
      <c r="T37" s="2"/>
      <c r="U37" s="2"/>
      <c r="V37" s="3"/>
      <c r="W37" s="3"/>
      <c r="X37" s="3"/>
      <c r="Y37" s="3"/>
    </row>
    <row r="38" spans="1:25" ht="15.5" x14ac:dyDescent="0.35">
      <c r="A38" s="106" t="s">
        <v>22</v>
      </c>
      <c r="B38" s="106"/>
      <c r="C38" s="106"/>
      <c r="D38" s="16">
        <v>50</v>
      </c>
      <c r="F38" s="2"/>
      <c r="H38" s="2"/>
      <c r="I38" s="2"/>
      <c r="J38" s="3"/>
      <c r="K38" s="3"/>
      <c r="L38" s="4"/>
      <c r="M38" s="106" t="s">
        <v>22</v>
      </c>
      <c r="N38" s="106"/>
      <c r="O38" s="106"/>
      <c r="P38" s="16">
        <v>50</v>
      </c>
      <c r="R38" s="2"/>
      <c r="T38" s="2"/>
      <c r="U38" s="2"/>
      <c r="V38" s="3"/>
      <c r="W38" s="3"/>
      <c r="X38" s="3"/>
      <c r="Y38" s="3"/>
    </row>
    <row r="39" spans="1:25" ht="15.5" x14ac:dyDescent="0.35">
      <c r="B39" s="14" t="s">
        <v>20</v>
      </c>
      <c r="C39" s="15" t="s">
        <v>21</v>
      </c>
      <c r="F39" s="2"/>
      <c r="G39" s="2"/>
      <c r="H39" s="2"/>
      <c r="I39" s="2"/>
      <c r="J39" s="3"/>
      <c r="K39" s="3"/>
      <c r="L39" s="4"/>
      <c r="N39" s="14" t="s">
        <v>20</v>
      </c>
      <c r="O39" s="15" t="s">
        <v>21</v>
      </c>
      <c r="R39" s="2"/>
      <c r="S39" s="2"/>
      <c r="T39" s="2"/>
      <c r="U39" s="2"/>
      <c r="V39" s="3"/>
      <c r="W39" s="3"/>
      <c r="X39" s="3"/>
      <c r="Y39" s="3"/>
    </row>
    <row r="40" spans="1:25" x14ac:dyDescent="0.35">
      <c r="B40" s="10">
        <v>1</v>
      </c>
      <c r="C40" s="10">
        <v>2</v>
      </c>
      <c r="F40" s="2"/>
      <c r="G40" s="2"/>
      <c r="H40" s="2"/>
      <c r="I40" s="2"/>
      <c r="J40" s="3"/>
      <c r="K40" s="3"/>
      <c r="L40" s="4"/>
      <c r="N40" s="10">
        <v>1</v>
      </c>
      <c r="O40" s="10">
        <v>2</v>
      </c>
      <c r="R40" s="2"/>
      <c r="S40" s="2"/>
      <c r="T40" s="2"/>
      <c r="U40" s="2"/>
      <c r="V40" s="3"/>
      <c r="W40" s="3"/>
      <c r="X40" s="3"/>
      <c r="Y40" s="3"/>
    </row>
    <row r="41" spans="1:25" x14ac:dyDescent="0.35">
      <c r="B41" s="10">
        <v>2</v>
      </c>
      <c r="C41" s="10">
        <v>8</v>
      </c>
      <c r="F41" s="2"/>
      <c r="G41" s="2"/>
      <c r="H41" s="2"/>
      <c r="I41" s="2"/>
      <c r="J41" s="3"/>
      <c r="K41" s="3"/>
      <c r="L41" s="4"/>
      <c r="N41" s="10">
        <v>2</v>
      </c>
      <c r="O41" s="10">
        <v>8</v>
      </c>
      <c r="R41" s="2"/>
      <c r="S41" s="2"/>
      <c r="T41" s="2"/>
      <c r="U41" s="2"/>
      <c r="V41" s="3"/>
      <c r="W41" s="3"/>
      <c r="X41" s="3"/>
      <c r="Y41" s="3"/>
    </row>
    <row r="42" spans="1:25" x14ac:dyDescent="0.35">
      <c r="B42" s="10">
        <v>80</v>
      </c>
      <c r="C42" s="10">
        <v>48</v>
      </c>
      <c r="F42" s="2"/>
      <c r="G42" s="2"/>
      <c r="H42" s="2"/>
      <c r="I42" s="2"/>
      <c r="J42" s="3"/>
      <c r="K42" s="3"/>
      <c r="L42" s="4"/>
      <c r="N42" s="10">
        <v>80</v>
      </c>
      <c r="O42" s="10">
        <v>60</v>
      </c>
      <c r="R42" s="2"/>
      <c r="S42" s="2"/>
      <c r="T42" s="2"/>
      <c r="U42" s="2"/>
      <c r="V42" s="3"/>
      <c r="W42" s="3"/>
      <c r="X42" s="3"/>
      <c r="Y42" s="3"/>
    </row>
    <row r="43" spans="1:25" x14ac:dyDescent="0.35">
      <c r="B43" s="10">
        <v>20</v>
      </c>
      <c r="C43" s="10">
        <v>60</v>
      </c>
      <c r="F43" s="2"/>
      <c r="G43" s="2"/>
      <c r="H43" s="2"/>
      <c r="I43" s="2"/>
      <c r="J43" s="3"/>
      <c r="K43" s="3"/>
      <c r="L43" s="4"/>
      <c r="N43" s="10">
        <v>20</v>
      </c>
      <c r="O43" s="10">
        <v>30</v>
      </c>
      <c r="R43" s="2"/>
      <c r="S43" s="2"/>
      <c r="T43" s="2"/>
      <c r="U43" s="2"/>
      <c r="V43" s="3"/>
      <c r="W43" s="3"/>
      <c r="X43" s="3"/>
      <c r="Y43" s="3"/>
    </row>
    <row r="44" spans="1:25" x14ac:dyDescent="0.35">
      <c r="B44" s="10">
        <v>50</v>
      </c>
      <c r="C44" s="10">
        <v>4</v>
      </c>
      <c r="F44" s="2"/>
      <c r="G44" s="2"/>
      <c r="H44" s="2"/>
      <c r="I44" s="2"/>
      <c r="J44" s="3"/>
      <c r="K44" s="3"/>
      <c r="L44" s="4"/>
      <c r="N44" s="10">
        <v>50</v>
      </c>
      <c r="O44" s="10">
        <v>4</v>
      </c>
      <c r="R44" s="2"/>
      <c r="S44" s="2"/>
      <c r="T44" s="2"/>
      <c r="U44" s="2"/>
      <c r="V44" s="3"/>
      <c r="W44" s="3"/>
      <c r="X44" s="3"/>
      <c r="Y44" s="3"/>
    </row>
    <row r="45" spans="1:25" x14ac:dyDescent="0.35">
      <c r="B45" s="10">
        <v>8</v>
      </c>
      <c r="C45" s="10">
        <v>3</v>
      </c>
      <c r="F45" s="2"/>
      <c r="G45" s="2"/>
      <c r="H45" s="2"/>
      <c r="I45" s="2"/>
      <c r="J45" s="3"/>
      <c r="K45" s="3"/>
      <c r="L45" s="4"/>
      <c r="N45" s="10">
        <v>8</v>
      </c>
      <c r="O45" s="10">
        <v>3</v>
      </c>
      <c r="R45" s="2"/>
      <c r="S45" s="2"/>
      <c r="T45" s="2"/>
      <c r="U45" s="2"/>
      <c r="V45" s="3"/>
      <c r="W45" s="3"/>
      <c r="X45" s="3"/>
      <c r="Y45" s="3"/>
    </row>
    <row r="46" spans="1:25" x14ac:dyDescent="0.35">
      <c r="B46" s="10">
        <v>90</v>
      </c>
      <c r="C46" s="10">
        <v>8</v>
      </c>
      <c r="F46" s="2"/>
      <c r="G46" s="2"/>
      <c r="H46" s="2"/>
      <c r="I46" s="2"/>
      <c r="J46" s="3"/>
      <c r="K46" s="3"/>
      <c r="L46" s="4"/>
      <c r="N46" s="10">
        <v>90</v>
      </c>
      <c r="O46" s="10">
        <v>8</v>
      </c>
      <c r="R46" s="2"/>
      <c r="S46" s="2"/>
      <c r="T46" s="2"/>
      <c r="U46" s="2"/>
      <c r="V46" s="3"/>
      <c r="W46" s="3"/>
      <c r="X46" s="3"/>
      <c r="Y46" s="3"/>
    </row>
    <row r="47" spans="1:25" x14ac:dyDescent="0.35">
      <c r="F47" s="2"/>
      <c r="G47" s="2"/>
      <c r="H47" s="2"/>
      <c r="I47" s="2"/>
      <c r="J47" s="3"/>
      <c r="K47" s="3"/>
      <c r="L47" s="4"/>
      <c r="R47" s="2"/>
      <c r="S47" s="2"/>
      <c r="T47" s="2"/>
      <c r="U47" s="2"/>
      <c r="V47" s="3"/>
      <c r="W47" s="3"/>
      <c r="X47" s="3"/>
      <c r="Y47" s="3"/>
    </row>
    <row r="48" spans="1:25" x14ac:dyDescent="0.35">
      <c r="F48" s="2"/>
      <c r="G48" s="2"/>
      <c r="H48" s="2"/>
      <c r="I48" s="2"/>
      <c r="J48" s="3"/>
      <c r="K48" s="3"/>
      <c r="L48" s="4"/>
      <c r="R48" s="2"/>
      <c r="S48" s="2"/>
      <c r="T48" s="2"/>
      <c r="U48" s="2"/>
      <c r="V48" s="3"/>
      <c r="W48" s="3"/>
      <c r="X48" s="3"/>
      <c r="Y48" s="3"/>
    </row>
    <row r="49" spans="1:25" ht="15.5" x14ac:dyDescent="0.35">
      <c r="A49" s="106" t="s">
        <v>23</v>
      </c>
      <c r="B49" s="106"/>
      <c r="C49" s="106"/>
      <c r="F49" s="2"/>
      <c r="G49" s="2"/>
      <c r="H49" s="2"/>
      <c r="I49" s="2"/>
      <c r="J49" s="3"/>
      <c r="K49" s="3"/>
      <c r="L49" s="4"/>
      <c r="M49" s="106" t="s">
        <v>23</v>
      </c>
      <c r="N49" s="106"/>
      <c r="O49" s="106"/>
      <c r="R49" s="2"/>
      <c r="S49" s="2"/>
      <c r="T49" s="2"/>
      <c r="U49" s="2"/>
      <c r="V49" s="3"/>
      <c r="W49" s="3"/>
      <c r="X49" s="3"/>
      <c r="Y49" s="3"/>
    </row>
    <row r="50" spans="1:25" x14ac:dyDescent="0.35">
      <c r="B50" s="17" t="s">
        <v>20</v>
      </c>
      <c r="C50" s="18" t="s">
        <v>21</v>
      </c>
      <c r="F50" s="2"/>
      <c r="G50" s="2"/>
      <c r="H50" s="2"/>
      <c r="I50" s="2"/>
      <c r="J50" s="3"/>
      <c r="K50" s="3"/>
      <c r="L50" s="4"/>
      <c r="N50" s="17" t="s">
        <v>20</v>
      </c>
      <c r="O50" s="18" t="s">
        <v>21</v>
      </c>
      <c r="R50" s="2"/>
      <c r="S50" s="2"/>
      <c r="T50" s="2"/>
      <c r="U50" s="2"/>
      <c r="V50" s="3"/>
      <c r="W50" s="3"/>
      <c r="X50" s="3"/>
      <c r="Y50" s="3"/>
    </row>
    <row r="51" spans="1:25" x14ac:dyDescent="0.35">
      <c r="B51" s="19">
        <v>1</v>
      </c>
      <c r="C51" s="20">
        <v>1</v>
      </c>
      <c r="F51" s="2"/>
      <c r="G51" s="2"/>
      <c r="H51" s="2"/>
      <c r="I51" s="2"/>
      <c r="J51" s="3"/>
      <c r="K51" s="3"/>
      <c r="L51" s="4"/>
      <c r="N51" s="19">
        <v>1</v>
      </c>
      <c r="O51" s="20">
        <v>1</v>
      </c>
      <c r="R51" s="2"/>
      <c r="S51" s="2"/>
      <c r="T51" s="2"/>
      <c r="U51" s="2"/>
      <c r="V51" s="3"/>
      <c r="W51" s="3"/>
      <c r="X51" s="3"/>
      <c r="Y51" s="3"/>
    </row>
    <row r="52" spans="1:25" x14ac:dyDescent="0.35">
      <c r="B52" s="19">
        <v>2</v>
      </c>
      <c r="C52" s="20">
        <v>8</v>
      </c>
      <c r="F52" s="2"/>
      <c r="G52" s="2"/>
      <c r="H52" s="2"/>
      <c r="I52" s="2"/>
      <c r="J52" s="3"/>
      <c r="K52" s="3"/>
      <c r="L52" s="4"/>
      <c r="N52" s="19">
        <v>2</v>
      </c>
      <c r="O52" s="20">
        <v>8</v>
      </c>
      <c r="R52" s="2"/>
      <c r="S52" s="2"/>
      <c r="T52" s="2"/>
      <c r="U52" s="2"/>
      <c r="V52" s="3"/>
      <c r="W52" s="3"/>
      <c r="X52" s="3"/>
      <c r="Y52" s="3"/>
    </row>
    <row r="53" spans="1:25" x14ac:dyDescent="0.35">
      <c r="B53" s="19">
        <v>80</v>
      </c>
      <c r="C53" s="20">
        <v>60</v>
      </c>
      <c r="F53" s="2"/>
      <c r="G53" s="2"/>
      <c r="H53" s="2"/>
      <c r="I53" s="2"/>
      <c r="J53" s="3"/>
      <c r="K53" s="3"/>
      <c r="L53" s="4"/>
      <c r="N53" s="19">
        <v>80</v>
      </c>
      <c r="O53" s="20">
        <v>60</v>
      </c>
      <c r="R53" s="2"/>
      <c r="S53" s="2"/>
      <c r="T53" s="2"/>
      <c r="U53" s="2"/>
      <c r="V53" s="3"/>
      <c r="W53" s="3"/>
      <c r="X53" s="3"/>
      <c r="Y53" s="3"/>
    </row>
    <row r="54" spans="1:25" x14ac:dyDescent="0.35">
      <c r="B54" s="19">
        <v>20</v>
      </c>
      <c r="C54" s="20">
        <v>30</v>
      </c>
      <c r="F54" s="2"/>
      <c r="G54" s="2"/>
      <c r="H54" s="2"/>
      <c r="I54" s="2"/>
      <c r="J54" s="3"/>
      <c r="K54" s="3"/>
      <c r="L54" s="4"/>
      <c r="N54" s="19">
        <v>20</v>
      </c>
      <c r="O54" s="20">
        <v>30</v>
      </c>
      <c r="R54" s="2"/>
      <c r="S54" s="2"/>
      <c r="T54" s="2"/>
      <c r="U54" s="2"/>
      <c r="V54" s="3"/>
      <c r="W54" s="3"/>
      <c r="X54" s="3"/>
      <c r="Y54" s="3"/>
    </row>
    <row r="55" spans="1:25" x14ac:dyDescent="0.35">
      <c r="B55" s="19">
        <v>50</v>
      </c>
      <c r="C55" s="20">
        <v>50</v>
      </c>
      <c r="F55" s="2"/>
      <c r="G55" s="2"/>
      <c r="H55" s="2"/>
      <c r="I55" s="2"/>
      <c r="J55" s="3"/>
      <c r="K55" s="3"/>
      <c r="L55" s="4"/>
      <c r="N55" s="19">
        <v>50</v>
      </c>
      <c r="O55" s="20">
        <v>50</v>
      </c>
      <c r="R55" s="2"/>
      <c r="S55" s="2"/>
      <c r="T55" s="2"/>
      <c r="U55" s="2"/>
      <c r="V55" s="3"/>
      <c r="W55" s="3"/>
      <c r="X55" s="3"/>
      <c r="Y55" s="3"/>
    </row>
    <row r="56" spans="1:25" x14ac:dyDescent="0.35">
      <c r="B56" s="19">
        <v>8</v>
      </c>
      <c r="C56" s="20">
        <v>3</v>
      </c>
      <c r="F56" s="2"/>
      <c r="G56" s="2"/>
      <c r="H56" s="2"/>
      <c r="I56" s="2"/>
      <c r="J56" s="3"/>
      <c r="K56" s="3"/>
      <c r="L56" s="4"/>
      <c r="N56" s="19">
        <v>8</v>
      </c>
      <c r="O56" s="20">
        <v>3</v>
      </c>
      <c r="R56" s="2"/>
      <c r="S56" s="2"/>
      <c r="T56" s="2"/>
      <c r="U56" s="2"/>
      <c r="V56" s="3"/>
      <c r="W56" s="3"/>
      <c r="X56" s="3"/>
      <c r="Y56" s="3"/>
    </row>
    <row r="57" spans="1:25" ht="15" thickBot="1" x14ac:dyDescent="0.4">
      <c r="B57" s="21">
        <v>90</v>
      </c>
      <c r="C57" s="22">
        <v>8</v>
      </c>
      <c r="F57" s="2"/>
      <c r="G57" s="2"/>
      <c r="H57" s="2"/>
      <c r="I57" s="2"/>
      <c r="J57" s="3"/>
      <c r="K57" s="3"/>
      <c r="L57" s="4"/>
      <c r="N57" s="21">
        <v>90</v>
      </c>
      <c r="O57" s="22">
        <v>8</v>
      </c>
      <c r="R57" s="2"/>
      <c r="S57" s="2"/>
      <c r="T57" s="2"/>
      <c r="U57" s="2"/>
      <c r="V57" s="3"/>
      <c r="W57" s="3"/>
      <c r="X57" s="3"/>
      <c r="Y57" s="3"/>
    </row>
    <row r="58" spans="1:25" x14ac:dyDescent="0.35">
      <c r="F58" s="2"/>
      <c r="G58" s="2"/>
      <c r="H58" s="2"/>
      <c r="I58" s="2"/>
      <c r="J58" s="3"/>
      <c r="K58" s="3"/>
      <c r="L58" s="4"/>
      <c r="R58" s="2"/>
      <c r="S58" s="2"/>
      <c r="T58" s="2"/>
      <c r="U58" s="2"/>
      <c r="V58" s="3"/>
      <c r="W58" s="3"/>
      <c r="X58" s="3"/>
      <c r="Y58" s="3"/>
    </row>
    <row r="59" spans="1:25" x14ac:dyDescent="0.35">
      <c r="F59" s="2"/>
      <c r="G59" s="2"/>
      <c r="H59" s="2"/>
      <c r="I59" s="2"/>
      <c r="J59" s="3"/>
      <c r="K59" s="3"/>
      <c r="L59" s="4"/>
      <c r="R59" s="2"/>
      <c r="S59" s="2"/>
      <c r="T59" s="2"/>
      <c r="U59" s="2"/>
      <c r="V59" s="3"/>
      <c r="W59" s="3"/>
      <c r="X59" s="3"/>
      <c r="Y59" s="3"/>
    </row>
    <row r="60" spans="1:25" ht="15.5" x14ac:dyDescent="0.35">
      <c r="A60" s="106" t="s">
        <v>24</v>
      </c>
      <c r="B60" s="106"/>
      <c r="C60" s="106"/>
      <c r="F60" s="2"/>
      <c r="G60" s="2"/>
      <c r="H60" s="2"/>
      <c r="I60" s="2"/>
      <c r="J60" s="3"/>
      <c r="K60" s="3"/>
      <c r="L60" s="4"/>
      <c r="M60" s="106" t="s">
        <v>24</v>
      </c>
      <c r="N60" s="106"/>
      <c r="O60" s="106"/>
      <c r="R60" s="2"/>
      <c r="S60" s="2"/>
      <c r="T60" s="2"/>
      <c r="U60" s="2"/>
      <c r="V60" s="3"/>
      <c r="W60" s="3"/>
      <c r="X60" s="3"/>
      <c r="Y60" s="3"/>
    </row>
    <row r="61" spans="1:25" x14ac:dyDescent="0.35">
      <c r="B61" s="17" t="s">
        <v>20</v>
      </c>
      <c r="C61" s="18" t="s">
        <v>21</v>
      </c>
      <c r="F61" s="2"/>
      <c r="G61" s="2"/>
      <c r="H61" s="2"/>
      <c r="I61" s="2"/>
      <c r="J61" s="3"/>
      <c r="K61" s="3"/>
      <c r="L61" s="4"/>
      <c r="N61" s="17" t="s">
        <v>20</v>
      </c>
      <c r="O61" s="18" t="s">
        <v>21</v>
      </c>
      <c r="R61" s="2"/>
      <c r="S61" s="2"/>
      <c r="T61" s="2"/>
      <c r="U61" s="2"/>
      <c r="V61" s="3"/>
      <c r="W61" s="3"/>
      <c r="X61" s="3"/>
      <c r="Y61" s="3"/>
    </row>
    <row r="62" spans="1:25" x14ac:dyDescent="0.35">
      <c r="B62" s="19">
        <v>1</v>
      </c>
      <c r="C62" s="20">
        <v>1</v>
      </c>
      <c r="F62" s="2"/>
      <c r="G62" s="2"/>
      <c r="H62" s="2"/>
      <c r="I62" s="2"/>
      <c r="J62" s="3"/>
      <c r="K62" s="3"/>
      <c r="L62" s="4"/>
      <c r="N62" s="19">
        <v>1</v>
      </c>
      <c r="O62" s="20">
        <v>1</v>
      </c>
      <c r="R62" s="2"/>
      <c r="S62" s="2"/>
      <c r="T62" s="2"/>
      <c r="U62" s="2"/>
      <c r="V62" s="3"/>
      <c r="W62" s="3"/>
      <c r="X62" s="3"/>
      <c r="Y62" s="3"/>
    </row>
    <row r="63" spans="1:25" x14ac:dyDescent="0.35">
      <c r="B63" s="19">
        <v>2</v>
      </c>
      <c r="C63" s="20">
        <v>8</v>
      </c>
      <c r="F63" s="2"/>
      <c r="G63" s="2"/>
      <c r="H63" s="2"/>
      <c r="I63" s="2"/>
      <c r="J63" s="3"/>
      <c r="K63" s="3"/>
      <c r="L63" s="4"/>
      <c r="N63" s="19">
        <v>2</v>
      </c>
      <c r="O63" s="20">
        <v>8</v>
      </c>
      <c r="R63" s="2"/>
      <c r="S63" s="2"/>
      <c r="T63" s="2"/>
      <c r="U63" s="2"/>
      <c r="V63" s="3"/>
      <c r="W63" s="3"/>
      <c r="X63" s="3"/>
      <c r="Y63" s="3"/>
    </row>
    <row r="64" spans="1:25" x14ac:dyDescent="0.35">
      <c r="B64" s="19">
        <v>80</v>
      </c>
      <c r="C64" s="20">
        <v>60</v>
      </c>
      <c r="F64" s="2"/>
      <c r="G64" s="2"/>
      <c r="H64" s="2"/>
      <c r="I64" s="2"/>
      <c r="J64" s="3"/>
      <c r="K64" s="3"/>
      <c r="L64" s="4"/>
      <c r="N64" s="19">
        <v>80</v>
      </c>
      <c r="O64" s="20">
        <v>80</v>
      </c>
      <c r="R64" s="2"/>
      <c r="S64" s="2"/>
      <c r="T64" s="2"/>
      <c r="U64" s="2"/>
      <c r="V64" s="3"/>
      <c r="W64" s="3"/>
      <c r="X64" s="3"/>
      <c r="Y64" s="3"/>
    </row>
    <row r="65" spans="1:25" x14ac:dyDescent="0.35">
      <c r="B65" s="19">
        <v>20</v>
      </c>
      <c r="C65" s="20">
        <v>30</v>
      </c>
      <c r="F65" s="2"/>
      <c r="G65" s="2"/>
      <c r="H65" s="2"/>
      <c r="I65" s="2"/>
      <c r="J65" s="3"/>
      <c r="K65" s="3"/>
      <c r="L65" s="4"/>
      <c r="N65" s="19">
        <v>20</v>
      </c>
      <c r="O65" s="20">
        <v>30</v>
      </c>
      <c r="R65" s="2"/>
      <c r="S65" s="2"/>
      <c r="T65" s="2"/>
      <c r="U65" s="2"/>
      <c r="V65" s="3"/>
      <c r="W65" s="3"/>
      <c r="X65" s="3"/>
      <c r="Y65" s="3"/>
    </row>
    <row r="66" spans="1:25" x14ac:dyDescent="0.35">
      <c r="B66" s="19">
        <v>50</v>
      </c>
      <c r="C66" s="20">
        <v>50</v>
      </c>
      <c r="F66" s="2"/>
      <c r="G66" s="2"/>
      <c r="H66" s="2"/>
      <c r="I66" s="2"/>
      <c r="J66" s="3"/>
      <c r="K66" s="3"/>
      <c r="L66" s="4"/>
      <c r="N66" s="19">
        <v>50</v>
      </c>
      <c r="O66" s="20">
        <v>50</v>
      </c>
      <c r="R66" s="2"/>
      <c r="S66" s="2"/>
      <c r="T66" s="2"/>
      <c r="U66" s="2"/>
      <c r="V66" s="3"/>
      <c r="W66" s="3"/>
      <c r="X66" s="3"/>
      <c r="Y66" s="3"/>
    </row>
    <row r="67" spans="1:25" x14ac:dyDescent="0.35">
      <c r="B67" s="19">
        <v>8</v>
      </c>
      <c r="C67" s="20">
        <v>3</v>
      </c>
      <c r="F67" s="2"/>
      <c r="G67" s="2"/>
      <c r="H67" s="2"/>
      <c r="I67" s="2"/>
      <c r="J67" s="3"/>
      <c r="K67" s="3"/>
      <c r="L67" s="4"/>
      <c r="N67" s="19">
        <v>8</v>
      </c>
      <c r="O67" s="20">
        <v>3</v>
      </c>
      <c r="R67" s="2"/>
      <c r="S67" s="2"/>
      <c r="T67" s="2"/>
      <c r="U67" s="2"/>
      <c r="V67" s="3"/>
      <c r="W67" s="3"/>
      <c r="X67" s="3"/>
      <c r="Y67" s="3"/>
    </row>
    <row r="68" spans="1:25" ht="15" thickBot="1" x14ac:dyDescent="0.4">
      <c r="B68" s="21">
        <v>90</v>
      </c>
      <c r="C68" s="22">
        <v>8</v>
      </c>
      <c r="F68" s="2"/>
      <c r="G68" s="2"/>
      <c r="H68" s="2"/>
      <c r="I68" s="2"/>
      <c r="J68" s="3"/>
      <c r="K68" s="3"/>
      <c r="L68" s="4"/>
      <c r="N68" s="21">
        <v>90</v>
      </c>
      <c r="O68" s="22">
        <v>8</v>
      </c>
      <c r="R68" s="2"/>
      <c r="S68" s="2"/>
      <c r="T68" s="2"/>
      <c r="U68" s="2"/>
      <c r="V68" s="3"/>
      <c r="W68" s="3"/>
      <c r="X68" s="3"/>
      <c r="Y68" s="3"/>
    </row>
    <row r="69" spans="1:25" x14ac:dyDescent="0.35">
      <c r="F69" s="2"/>
      <c r="G69" s="2"/>
      <c r="H69" s="2"/>
      <c r="I69" s="2"/>
      <c r="J69" s="3"/>
      <c r="K69" s="3"/>
      <c r="L69" s="4"/>
      <c r="R69" s="2"/>
      <c r="S69" s="2"/>
      <c r="T69" s="2"/>
      <c r="U69" s="2"/>
      <c r="V69" s="3"/>
      <c r="W69" s="3"/>
      <c r="X69" s="3"/>
      <c r="Y69" s="3"/>
    </row>
    <row r="70" spans="1:25" x14ac:dyDescent="0.35">
      <c r="F70" s="2"/>
      <c r="G70" s="2"/>
      <c r="H70" s="2"/>
      <c r="I70" s="2"/>
      <c r="J70" s="3"/>
      <c r="K70" s="3"/>
      <c r="L70" s="4"/>
      <c r="R70" s="2"/>
      <c r="S70" s="2"/>
      <c r="T70" s="2"/>
      <c r="U70" s="2"/>
      <c r="V70" s="3"/>
      <c r="W70" s="3"/>
      <c r="X70" s="3"/>
      <c r="Y70" s="3"/>
    </row>
    <row r="71" spans="1:25" ht="15.5" x14ac:dyDescent="0.35">
      <c r="A71" s="106" t="s">
        <v>25</v>
      </c>
      <c r="B71" s="106"/>
      <c r="C71" s="106"/>
      <c r="M71" s="106" t="s">
        <v>25</v>
      </c>
      <c r="N71" s="106"/>
      <c r="O71" s="106"/>
    </row>
    <row r="72" spans="1:25" x14ac:dyDescent="0.35">
      <c r="A72" s="23" t="s">
        <v>26</v>
      </c>
      <c r="B72" s="24">
        <v>10</v>
      </c>
      <c r="C72" s="24">
        <v>5</v>
      </c>
      <c r="D72" s="10">
        <v>8</v>
      </c>
      <c r="E72" s="10">
        <v>9</v>
      </c>
      <c r="F72" s="10">
        <v>60</v>
      </c>
      <c r="G72" s="10">
        <v>5</v>
      </c>
      <c r="H72" s="10">
        <v>10</v>
      </c>
      <c r="I72" s="10">
        <v>5</v>
      </c>
      <c r="M72" s="23" t="s">
        <v>26</v>
      </c>
      <c r="N72" s="24">
        <v>10</v>
      </c>
      <c r="O72" s="24">
        <v>1</v>
      </c>
      <c r="P72" s="10">
        <v>2</v>
      </c>
      <c r="Q72" s="10">
        <v>9</v>
      </c>
      <c r="R72" s="10">
        <v>4</v>
      </c>
      <c r="S72" s="10">
        <v>5</v>
      </c>
      <c r="T72" s="10">
        <v>10</v>
      </c>
      <c r="U72" s="10">
        <v>5</v>
      </c>
    </row>
    <row r="73" spans="1:25" x14ac:dyDescent="0.35">
      <c r="A73" s="25" t="s">
        <v>27</v>
      </c>
      <c r="B73" s="10">
        <v>2</v>
      </c>
      <c r="C73" s="10">
        <v>2</v>
      </c>
      <c r="D73" s="10">
        <v>3</v>
      </c>
      <c r="E73" s="10">
        <v>6</v>
      </c>
      <c r="F73" s="10">
        <v>58</v>
      </c>
      <c r="G73" s="10">
        <v>8</v>
      </c>
      <c r="H73" s="10">
        <v>3</v>
      </c>
      <c r="I73" s="10">
        <v>12</v>
      </c>
      <c r="M73" s="25" t="s">
        <v>27</v>
      </c>
      <c r="N73" s="10">
        <v>2</v>
      </c>
      <c r="O73" s="10">
        <v>2</v>
      </c>
      <c r="P73" s="10">
        <v>3</v>
      </c>
      <c r="Q73" s="10">
        <v>6</v>
      </c>
      <c r="R73" s="10">
        <v>58</v>
      </c>
      <c r="S73" s="10">
        <v>8</v>
      </c>
      <c r="T73" s="10">
        <v>3</v>
      </c>
      <c r="U73" s="10">
        <v>12</v>
      </c>
    </row>
    <row r="74" spans="1:25" x14ac:dyDescent="0.35">
      <c r="F74" s="2"/>
      <c r="G74" s="2"/>
      <c r="H74" s="2"/>
      <c r="I74" s="2"/>
      <c r="R74" s="2"/>
      <c r="S74" s="2"/>
      <c r="T74" s="2"/>
      <c r="U74" s="2"/>
    </row>
    <row r="75" spans="1:25" x14ac:dyDescent="0.35">
      <c r="F75" s="2"/>
      <c r="G75" s="2"/>
      <c r="H75" s="2"/>
      <c r="I75" s="2"/>
      <c r="J75" s="3"/>
      <c r="K75" s="3"/>
      <c r="L75" s="4"/>
      <c r="R75" s="2"/>
      <c r="S75" s="2"/>
      <c r="T75" s="2"/>
      <c r="U75" s="2"/>
      <c r="V75" s="3"/>
      <c r="W75" s="3"/>
      <c r="X75" s="3"/>
      <c r="Y75" s="3"/>
    </row>
    <row r="76" spans="1:25" x14ac:dyDescent="0.35">
      <c r="F76" s="2"/>
      <c r="G76" s="2"/>
      <c r="H76" s="2"/>
      <c r="I76" s="2"/>
      <c r="J76" s="3"/>
      <c r="K76" s="3"/>
      <c r="L76" s="4"/>
      <c r="R76" s="2"/>
      <c r="S76" s="2"/>
      <c r="T76" s="2"/>
      <c r="U76" s="2"/>
      <c r="V76" s="3"/>
      <c r="W76" s="3"/>
      <c r="X76" s="3"/>
      <c r="Y76" s="3"/>
    </row>
    <row r="77" spans="1:25" ht="16.5" customHeight="1" x14ac:dyDescent="0.35">
      <c r="A77" s="106" t="s">
        <v>28</v>
      </c>
      <c r="B77" s="106"/>
      <c r="C77" s="106"/>
      <c r="J77" s="3"/>
      <c r="K77" s="3"/>
      <c r="L77" s="4"/>
      <c r="M77" s="106" t="s">
        <v>28</v>
      </c>
      <c r="N77" s="106"/>
      <c r="O77" s="106"/>
      <c r="V77" s="3"/>
      <c r="W77" s="3"/>
      <c r="X77" s="3"/>
      <c r="Y77" s="3"/>
    </row>
    <row r="78" spans="1:25" x14ac:dyDescent="0.35">
      <c r="B78" s="26" t="s">
        <v>29</v>
      </c>
      <c r="C78" s="27" t="s">
        <v>30</v>
      </c>
      <c r="F78" s="2"/>
      <c r="G78" s="2"/>
      <c r="H78" s="2"/>
      <c r="I78" s="2"/>
      <c r="J78" s="3"/>
      <c r="K78" s="3"/>
      <c r="L78" s="4"/>
      <c r="N78" s="26" t="s">
        <v>29</v>
      </c>
      <c r="O78" s="27" t="s">
        <v>30</v>
      </c>
      <c r="R78" s="2"/>
      <c r="S78" s="2"/>
      <c r="T78" s="2"/>
      <c r="U78" s="2"/>
      <c r="V78" s="3"/>
      <c r="W78" s="3"/>
      <c r="X78" s="3"/>
      <c r="Y78" s="3"/>
    </row>
    <row r="79" spans="1:25" x14ac:dyDescent="0.35">
      <c r="B79" s="19" t="s">
        <v>31</v>
      </c>
      <c r="C79" s="20" t="s">
        <v>31</v>
      </c>
      <c r="F79" s="2"/>
      <c r="G79" s="2"/>
      <c r="H79" s="2"/>
      <c r="I79" s="2"/>
      <c r="J79" s="3"/>
      <c r="K79" s="3"/>
      <c r="L79" s="4"/>
      <c r="N79" s="19" t="s">
        <v>31</v>
      </c>
      <c r="O79" s="20" t="s">
        <v>31</v>
      </c>
      <c r="R79" s="2"/>
      <c r="S79" s="2"/>
      <c r="T79" s="2"/>
      <c r="U79" s="2"/>
      <c r="V79" s="3"/>
      <c r="W79" s="3"/>
      <c r="X79" s="3"/>
      <c r="Y79" s="3"/>
    </row>
    <row r="80" spans="1:25" x14ac:dyDescent="0.35">
      <c r="B80" s="19" t="s">
        <v>32</v>
      </c>
      <c r="C80" s="28" t="s">
        <v>32</v>
      </c>
      <c r="F80" s="2"/>
      <c r="G80" s="2"/>
      <c r="H80" s="2"/>
      <c r="I80" s="2"/>
      <c r="J80" s="3"/>
      <c r="K80" s="3"/>
      <c r="L80" s="4"/>
      <c r="N80" s="19" t="s">
        <v>32</v>
      </c>
      <c r="O80" s="28" t="s">
        <v>32</v>
      </c>
      <c r="R80" s="2"/>
      <c r="S80" s="2"/>
      <c r="T80" s="2"/>
      <c r="U80" s="2"/>
      <c r="V80" s="3"/>
      <c r="W80" s="3"/>
      <c r="X80" s="3"/>
      <c r="Y80" s="3"/>
    </row>
    <row r="81" spans="1:25" x14ac:dyDescent="0.35">
      <c r="B81" s="19" t="s">
        <v>33</v>
      </c>
      <c r="C81" s="28" t="s">
        <v>32</v>
      </c>
      <c r="F81" s="2"/>
      <c r="G81" s="2"/>
      <c r="H81" s="2"/>
      <c r="I81" s="2"/>
      <c r="J81" s="3"/>
      <c r="K81" s="3"/>
      <c r="L81" s="4"/>
      <c r="N81" s="19" t="s">
        <v>33</v>
      </c>
      <c r="O81" s="28" t="s">
        <v>32</v>
      </c>
      <c r="R81" s="2"/>
      <c r="S81" s="2"/>
      <c r="T81" s="2"/>
      <c r="U81" s="2"/>
      <c r="V81" s="3"/>
      <c r="W81" s="3"/>
      <c r="X81" s="3"/>
      <c r="Y81" s="3"/>
    </row>
    <row r="82" spans="1:25" ht="15" thickBot="1" x14ac:dyDescent="0.4">
      <c r="B82" s="21" t="s">
        <v>31</v>
      </c>
      <c r="C82" s="29" t="s">
        <v>33</v>
      </c>
      <c r="F82" s="2"/>
      <c r="G82" s="2"/>
      <c r="H82" s="2"/>
      <c r="I82" s="2"/>
      <c r="J82" s="3"/>
      <c r="K82" s="3"/>
      <c r="L82" s="4"/>
      <c r="N82" s="21" t="s">
        <v>31</v>
      </c>
      <c r="O82" s="29" t="s">
        <v>33</v>
      </c>
      <c r="R82" s="2"/>
      <c r="S82" s="2"/>
      <c r="T82" s="2"/>
      <c r="U82" s="2"/>
      <c r="V82" s="3"/>
      <c r="W82" s="3"/>
      <c r="X82" s="3"/>
      <c r="Y82" s="3"/>
    </row>
    <row r="83" spans="1:25" x14ac:dyDescent="0.35">
      <c r="F83" s="2"/>
      <c r="G83" s="2"/>
      <c r="H83" s="2"/>
      <c r="I83" s="2"/>
      <c r="J83" s="3"/>
      <c r="K83" s="3"/>
      <c r="L83" s="4"/>
      <c r="R83" s="2"/>
      <c r="S83" s="2"/>
      <c r="T83" s="2"/>
      <c r="U83" s="2"/>
      <c r="V83" s="3"/>
      <c r="W83" s="3"/>
      <c r="X83" s="3"/>
      <c r="Y83" s="3"/>
    </row>
    <row r="84" spans="1:25" x14ac:dyDescent="0.35">
      <c r="F84" s="2"/>
      <c r="G84" s="2"/>
      <c r="H84" s="2"/>
      <c r="I84" s="2"/>
      <c r="J84" s="3"/>
      <c r="K84" s="3"/>
      <c r="L84" s="4"/>
      <c r="R84" s="2"/>
      <c r="S84" s="2"/>
      <c r="T84" s="2"/>
      <c r="U84" s="2"/>
      <c r="V84" s="3"/>
      <c r="W84" s="3"/>
      <c r="X84" s="3"/>
      <c r="Y84" s="3"/>
    </row>
    <row r="85" spans="1:25" ht="16.5" customHeight="1" x14ac:dyDescent="0.35">
      <c r="A85" s="106" t="s">
        <v>34</v>
      </c>
      <c r="B85" s="106"/>
      <c r="C85" s="106"/>
      <c r="M85" s="106" t="s">
        <v>34</v>
      </c>
      <c r="N85" s="106"/>
      <c r="O85" s="106"/>
    </row>
    <row r="86" spans="1:25" ht="15" thickBot="1" x14ac:dyDescent="0.4">
      <c r="B86" s="26" t="s">
        <v>29</v>
      </c>
      <c r="C86" s="27" t="s">
        <v>30</v>
      </c>
      <c r="F86" s="2"/>
      <c r="G86" s="2"/>
      <c r="H86" s="2"/>
      <c r="I86" s="2"/>
      <c r="J86" s="3"/>
      <c r="K86" s="3"/>
      <c r="L86" s="4"/>
      <c r="N86" s="26" t="s">
        <v>29</v>
      </c>
      <c r="O86" s="27" t="s">
        <v>30</v>
      </c>
      <c r="R86" s="2"/>
      <c r="S86" s="2"/>
      <c r="T86" s="2"/>
      <c r="U86" s="2"/>
      <c r="V86" s="3"/>
      <c r="W86" s="3"/>
      <c r="X86" s="3"/>
      <c r="Y86" s="3"/>
    </row>
    <row r="87" spans="1:25" x14ac:dyDescent="0.35">
      <c r="B87" s="30" t="s">
        <v>31</v>
      </c>
      <c r="C87" s="31" t="s">
        <v>31</v>
      </c>
      <c r="F87" s="2"/>
      <c r="G87" s="2"/>
      <c r="H87" s="2"/>
      <c r="I87" s="2"/>
      <c r="J87" s="3"/>
      <c r="K87" s="3"/>
      <c r="L87" s="4"/>
      <c r="N87" s="30" t="s">
        <v>31</v>
      </c>
      <c r="O87" s="31" t="s">
        <v>31</v>
      </c>
      <c r="R87" s="2"/>
      <c r="S87" s="2"/>
      <c r="T87" s="2"/>
      <c r="U87" s="2"/>
      <c r="V87" s="3"/>
      <c r="W87" s="3"/>
      <c r="X87" s="3"/>
      <c r="Y87" s="3"/>
    </row>
    <row r="88" spans="1:25" x14ac:dyDescent="0.35">
      <c r="B88" s="19" t="s">
        <v>32</v>
      </c>
      <c r="C88" s="28" t="s">
        <v>32</v>
      </c>
      <c r="F88" s="2"/>
      <c r="G88" s="2"/>
      <c r="H88" s="2"/>
      <c r="I88" s="2"/>
      <c r="J88" s="3"/>
      <c r="K88" s="3"/>
      <c r="L88" s="4"/>
      <c r="N88" s="19" t="s">
        <v>32</v>
      </c>
      <c r="O88" s="28" t="s">
        <v>32</v>
      </c>
      <c r="R88" s="2"/>
      <c r="S88" s="2"/>
      <c r="T88" s="2"/>
      <c r="U88" s="2"/>
      <c r="V88" s="3"/>
      <c r="W88" s="3"/>
      <c r="X88" s="3"/>
      <c r="Y88" s="3"/>
    </row>
    <row r="89" spans="1:25" x14ac:dyDescent="0.35">
      <c r="B89" s="19" t="s">
        <v>33</v>
      </c>
      <c r="C89" s="28" t="s">
        <v>32</v>
      </c>
      <c r="F89" s="2"/>
      <c r="G89" s="2"/>
      <c r="H89" s="2"/>
      <c r="I89" s="2"/>
      <c r="J89" s="3"/>
      <c r="K89" s="3"/>
      <c r="L89" s="4"/>
      <c r="N89" s="19" t="s">
        <v>33</v>
      </c>
      <c r="O89" s="28" t="s">
        <v>32</v>
      </c>
      <c r="R89" s="2"/>
      <c r="S89" s="2"/>
      <c r="T89" s="2"/>
      <c r="U89" s="2"/>
      <c r="V89" s="3"/>
      <c r="W89" s="3"/>
      <c r="X89" s="3"/>
      <c r="Y89" s="3"/>
    </row>
    <row r="90" spans="1:25" ht="15" thickBot="1" x14ac:dyDescent="0.4">
      <c r="B90" s="21" t="s">
        <v>31</v>
      </c>
      <c r="C90" s="29" t="s">
        <v>33</v>
      </c>
      <c r="F90" s="2"/>
      <c r="G90" s="2"/>
      <c r="H90" s="2"/>
      <c r="I90" s="2"/>
      <c r="J90" s="3"/>
      <c r="K90" s="3"/>
      <c r="L90" s="4"/>
      <c r="N90" s="21" t="s">
        <v>31</v>
      </c>
      <c r="O90" s="29" t="s">
        <v>33</v>
      </c>
      <c r="R90" s="2"/>
      <c r="S90" s="2"/>
      <c r="T90" s="2"/>
      <c r="U90" s="2"/>
      <c r="V90" s="3"/>
      <c r="W90" s="3"/>
      <c r="X90" s="3"/>
      <c r="Y90" s="3"/>
    </row>
    <row r="91" spans="1:25" x14ac:dyDescent="0.35">
      <c r="C91" s="32"/>
      <c r="F91" s="2"/>
      <c r="G91" s="2"/>
      <c r="H91" s="2"/>
      <c r="I91" s="2"/>
      <c r="J91" s="3"/>
      <c r="K91" s="3"/>
      <c r="L91" s="4"/>
      <c r="O91" s="32"/>
      <c r="R91" s="2"/>
      <c r="S91" s="2"/>
      <c r="T91" s="2"/>
      <c r="U91" s="2"/>
      <c r="V91" s="3"/>
      <c r="W91" s="3"/>
      <c r="X91" s="3"/>
      <c r="Y91" s="3"/>
    </row>
    <row r="92" spans="1:25" x14ac:dyDescent="0.35">
      <c r="C92" s="32"/>
      <c r="F92" s="2"/>
      <c r="G92" s="2"/>
      <c r="H92" s="2"/>
      <c r="I92" s="2"/>
      <c r="J92" s="3"/>
      <c r="K92" s="3"/>
      <c r="L92" s="4"/>
      <c r="O92" s="32"/>
      <c r="R92" s="2"/>
      <c r="S92" s="2"/>
      <c r="T92" s="2"/>
      <c r="U92" s="2"/>
      <c r="V92" s="3"/>
      <c r="W92" s="3"/>
      <c r="X92" s="3"/>
      <c r="Y92" s="3"/>
    </row>
    <row r="93" spans="1:25" ht="15.5" x14ac:dyDescent="0.35">
      <c r="A93" s="106" t="s">
        <v>35</v>
      </c>
      <c r="B93" s="106"/>
      <c r="C93" s="106"/>
      <c r="D93" s="106"/>
      <c r="E93" s="106"/>
      <c r="F93" s="2"/>
      <c r="G93" s="2"/>
      <c r="H93" s="2"/>
      <c r="I93" s="2"/>
      <c r="J93" s="3"/>
      <c r="K93" s="3"/>
      <c r="L93" s="4"/>
      <c r="M93" s="106" t="s">
        <v>35</v>
      </c>
      <c r="N93" s="106"/>
      <c r="O93" s="106"/>
      <c r="P93" s="106"/>
      <c r="Q93" s="106"/>
      <c r="R93" s="2"/>
      <c r="S93" s="2"/>
      <c r="T93" s="2"/>
      <c r="U93" s="2"/>
      <c r="V93" s="3"/>
      <c r="W93" s="3"/>
      <c r="X93" s="3"/>
      <c r="Y93" s="3"/>
    </row>
    <row r="94" spans="1:25" x14ac:dyDescent="0.35">
      <c r="A94" s="33" t="s">
        <v>3</v>
      </c>
      <c r="B94" s="34" t="s">
        <v>4</v>
      </c>
      <c r="C94" s="35" t="s">
        <v>5</v>
      </c>
      <c r="D94" s="35" t="s">
        <v>6</v>
      </c>
      <c r="E94" s="36" t="s">
        <v>7</v>
      </c>
      <c r="F94" s="2"/>
      <c r="G94" s="2"/>
      <c r="H94" s="2"/>
      <c r="I94" s="2"/>
      <c r="J94" s="3"/>
      <c r="K94" s="3"/>
      <c r="L94" s="4"/>
      <c r="M94" s="33" t="s">
        <v>3</v>
      </c>
      <c r="N94" s="34" t="s">
        <v>4</v>
      </c>
      <c r="O94" s="35" t="s">
        <v>5</v>
      </c>
      <c r="P94" s="35" t="s">
        <v>6</v>
      </c>
      <c r="Q94" s="36" t="s">
        <v>7</v>
      </c>
      <c r="R94" s="2"/>
      <c r="S94" s="2"/>
      <c r="T94" s="2"/>
      <c r="U94" s="2"/>
      <c r="V94" s="3"/>
      <c r="W94" s="3"/>
      <c r="X94" s="3"/>
      <c r="Y94" s="3"/>
    </row>
    <row r="95" spans="1:25" x14ac:dyDescent="0.35">
      <c r="A95" s="19" t="s">
        <v>8</v>
      </c>
      <c r="B95" s="37">
        <v>14</v>
      </c>
      <c r="C95" s="37">
        <v>0</v>
      </c>
      <c r="D95" s="37" t="s">
        <v>9</v>
      </c>
      <c r="E95" s="20">
        <v>12000</v>
      </c>
      <c r="F95" s="2"/>
      <c r="G95" s="2"/>
      <c r="H95" s="2"/>
      <c r="I95" s="2"/>
      <c r="J95" s="3"/>
      <c r="K95" s="3"/>
      <c r="L95" s="4"/>
      <c r="M95" s="19" t="s">
        <v>8</v>
      </c>
      <c r="N95" s="37">
        <v>14</v>
      </c>
      <c r="O95" s="37">
        <v>0</v>
      </c>
      <c r="P95" s="37" t="s">
        <v>9</v>
      </c>
      <c r="Q95" s="20">
        <v>12000</v>
      </c>
      <c r="R95" s="2"/>
      <c r="S95" s="2"/>
      <c r="T95" s="2"/>
      <c r="U95" s="2"/>
      <c r="V95" s="3"/>
      <c r="W95" s="3"/>
      <c r="X95" s="3"/>
      <c r="Y95" s="3"/>
    </row>
    <row r="96" spans="1:25" x14ac:dyDescent="0.35">
      <c r="A96" s="19" t="s">
        <v>10</v>
      </c>
      <c r="B96" s="37">
        <v>6</v>
      </c>
      <c r="C96" s="37">
        <v>2</v>
      </c>
      <c r="D96" s="37" t="s">
        <v>11</v>
      </c>
      <c r="E96" s="20">
        <v>4000</v>
      </c>
      <c r="F96" s="2"/>
      <c r="G96" s="2"/>
      <c r="H96" s="2"/>
      <c r="I96" s="2"/>
      <c r="J96" s="3"/>
      <c r="K96" s="3"/>
      <c r="L96" s="4"/>
      <c r="M96" s="19" t="s">
        <v>10</v>
      </c>
      <c r="N96" s="37">
        <v>6</v>
      </c>
      <c r="O96" s="37">
        <v>2</v>
      </c>
      <c r="P96" s="37" t="s">
        <v>11</v>
      </c>
      <c r="Q96" s="20">
        <v>4000</v>
      </c>
      <c r="R96" s="2"/>
      <c r="S96" s="2"/>
      <c r="T96" s="2"/>
      <c r="U96" s="2"/>
      <c r="V96" s="3"/>
      <c r="W96" s="3"/>
      <c r="X96" s="3"/>
      <c r="Y96" s="3"/>
    </row>
    <row r="97" spans="1:25" x14ac:dyDescent="0.35">
      <c r="A97" s="19" t="s">
        <v>12</v>
      </c>
      <c r="B97" s="37">
        <v>17</v>
      </c>
      <c r="C97" s="37">
        <v>0</v>
      </c>
      <c r="D97" s="37" t="s">
        <v>9</v>
      </c>
      <c r="E97" s="20">
        <v>3000</v>
      </c>
      <c r="F97" s="2"/>
      <c r="G97" s="2"/>
      <c r="H97" s="2"/>
      <c r="I97" s="2"/>
      <c r="J97" s="3"/>
      <c r="K97" s="3"/>
      <c r="L97" s="4"/>
      <c r="M97" s="19" t="s">
        <v>12</v>
      </c>
      <c r="N97" s="37">
        <v>17</v>
      </c>
      <c r="O97" s="37">
        <v>0</v>
      </c>
      <c r="P97" s="37" t="s">
        <v>9</v>
      </c>
      <c r="Q97" s="20">
        <v>3000</v>
      </c>
      <c r="R97" s="2"/>
      <c r="S97" s="2"/>
      <c r="T97" s="2"/>
      <c r="U97" s="2"/>
      <c r="V97" s="3"/>
      <c r="W97" s="3"/>
      <c r="X97" s="3"/>
      <c r="Y97" s="3"/>
    </row>
    <row r="98" spans="1:25" x14ac:dyDescent="0.35">
      <c r="A98" s="19" t="s">
        <v>13</v>
      </c>
      <c r="B98" s="37">
        <v>11</v>
      </c>
      <c r="C98" s="37">
        <v>10</v>
      </c>
      <c r="D98" s="37" t="s">
        <v>9</v>
      </c>
      <c r="E98" s="20">
        <v>14000</v>
      </c>
      <c r="F98" s="2"/>
      <c r="G98" s="2"/>
      <c r="H98" s="2"/>
      <c r="I98" s="2"/>
      <c r="J98" s="3"/>
      <c r="K98" s="3"/>
      <c r="L98" s="4"/>
      <c r="M98" s="19" t="s">
        <v>13</v>
      </c>
      <c r="N98" s="37">
        <v>11</v>
      </c>
      <c r="O98" s="37">
        <v>10</v>
      </c>
      <c r="P98" s="37" t="s">
        <v>9</v>
      </c>
      <c r="Q98" s="20">
        <v>14000</v>
      </c>
      <c r="R98" s="2"/>
      <c r="S98" s="2"/>
      <c r="T98" s="2"/>
      <c r="U98" s="2"/>
      <c r="V98" s="3"/>
      <c r="W98" s="3"/>
      <c r="X98" s="3"/>
      <c r="Y98" s="3"/>
    </row>
    <row r="99" spans="1:25" x14ac:dyDescent="0.35">
      <c r="A99" s="19" t="s">
        <v>14</v>
      </c>
      <c r="B99" s="37">
        <v>16</v>
      </c>
      <c r="C99" s="37">
        <v>0</v>
      </c>
      <c r="D99" s="37" t="s">
        <v>11</v>
      </c>
      <c r="E99" s="20">
        <v>7000</v>
      </c>
      <c r="F99" s="2"/>
      <c r="G99" s="2"/>
      <c r="H99" s="2"/>
      <c r="I99" s="2"/>
      <c r="J99" s="3"/>
      <c r="K99" s="3"/>
      <c r="L99" s="4"/>
      <c r="M99" s="19" t="s">
        <v>14</v>
      </c>
      <c r="N99" s="37">
        <v>16</v>
      </c>
      <c r="O99" s="37">
        <v>0</v>
      </c>
      <c r="P99" s="37" t="s">
        <v>11</v>
      </c>
      <c r="Q99" s="20">
        <v>7000</v>
      </c>
      <c r="R99" s="2"/>
      <c r="S99" s="2"/>
      <c r="T99" s="2"/>
      <c r="U99" s="2"/>
      <c r="V99" s="3"/>
      <c r="W99" s="3"/>
      <c r="X99" s="3"/>
      <c r="Y99" s="3"/>
    </row>
    <row r="100" spans="1:25" x14ac:dyDescent="0.35">
      <c r="A100" s="19" t="s">
        <v>15</v>
      </c>
      <c r="B100" s="37">
        <v>7</v>
      </c>
      <c r="C100" s="37">
        <v>0</v>
      </c>
      <c r="D100" s="37" t="s">
        <v>11</v>
      </c>
      <c r="E100" s="20">
        <v>8000</v>
      </c>
      <c r="F100" s="2"/>
      <c r="G100" s="2"/>
      <c r="H100" s="2"/>
      <c r="I100" s="2"/>
      <c r="J100" s="3"/>
      <c r="K100" s="3"/>
      <c r="L100" s="4"/>
      <c r="M100" s="19" t="s">
        <v>15</v>
      </c>
      <c r="N100" s="37">
        <v>7</v>
      </c>
      <c r="O100" s="37">
        <v>0</v>
      </c>
      <c r="P100" s="37" t="s">
        <v>11</v>
      </c>
      <c r="Q100" s="20">
        <v>8000</v>
      </c>
      <c r="R100" s="2"/>
      <c r="S100" s="2"/>
      <c r="T100" s="2"/>
      <c r="U100" s="2"/>
      <c r="V100" s="3"/>
      <c r="W100" s="3"/>
      <c r="X100" s="3"/>
      <c r="Y100" s="3"/>
    </row>
    <row r="101" spans="1:25" x14ac:dyDescent="0.35">
      <c r="A101" s="19" t="s">
        <v>16</v>
      </c>
      <c r="B101" s="37">
        <v>14</v>
      </c>
      <c r="C101" s="37">
        <v>2</v>
      </c>
      <c r="D101" s="37" t="s">
        <v>9</v>
      </c>
      <c r="E101" s="20">
        <v>2000</v>
      </c>
      <c r="F101" s="2"/>
      <c r="G101" s="2"/>
      <c r="H101" s="2"/>
      <c r="I101" s="2"/>
      <c r="J101" s="3"/>
      <c r="K101" s="3"/>
      <c r="L101" s="4"/>
      <c r="M101" s="19" t="s">
        <v>16</v>
      </c>
      <c r="N101" s="37">
        <v>14</v>
      </c>
      <c r="O101" s="37">
        <v>2</v>
      </c>
      <c r="P101" s="37" t="s">
        <v>9</v>
      </c>
      <c r="Q101" s="20">
        <v>2000</v>
      </c>
      <c r="R101" s="2"/>
      <c r="S101" s="2"/>
      <c r="T101" s="2"/>
      <c r="U101" s="2"/>
      <c r="V101" s="3"/>
      <c r="W101" s="3"/>
      <c r="X101" s="3"/>
      <c r="Y101" s="3"/>
    </row>
    <row r="102" spans="1:25" ht="15" thickBot="1" x14ac:dyDescent="0.4">
      <c r="A102" s="21" t="s">
        <v>17</v>
      </c>
      <c r="B102" s="38">
        <v>15</v>
      </c>
      <c r="C102" s="38">
        <v>1</v>
      </c>
      <c r="D102" s="38" t="s">
        <v>9</v>
      </c>
      <c r="E102" s="22">
        <v>10000</v>
      </c>
      <c r="F102" s="2"/>
      <c r="G102" s="2"/>
      <c r="H102" s="2"/>
      <c r="I102" s="2"/>
      <c r="J102" s="3"/>
      <c r="K102" s="3"/>
      <c r="L102" s="4"/>
      <c r="M102" s="21" t="s">
        <v>17</v>
      </c>
      <c r="N102" s="38">
        <v>15</v>
      </c>
      <c r="O102" s="38">
        <v>1</v>
      </c>
      <c r="P102" s="38" t="s">
        <v>9</v>
      </c>
      <c r="Q102" s="22">
        <v>10000</v>
      </c>
      <c r="R102" s="2"/>
      <c r="S102" s="2"/>
      <c r="T102" s="2"/>
      <c r="U102" s="2"/>
      <c r="V102" s="3"/>
      <c r="W102" s="3"/>
      <c r="X102" s="3"/>
      <c r="Y102" s="3"/>
    </row>
    <row r="103" spans="1:25" x14ac:dyDescent="0.35">
      <c r="A103" s="37"/>
      <c r="B103" s="37"/>
      <c r="C103" s="37"/>
      <c r="D103" s="37"/>
      <c r="E103" s="37"/>
      <c r="F103" s="2"/>
      <c r="G103" s="2"/>
      <c r="H103" s="2"/>
      <c r="I103" s="2"/>
      <c r="J103" s="3"/>
      <c r="K103" s="3"/>
      <c r="L103" s="4"/>
      <c r="M103" s="37"/>
      <c r="N103" s="37"/>
      <c r="O103" s="37"/>
      <c r="P103" s="37"/>
      <c r="Q103" s="37"/>
      <c r="R103" s="2"/>
      <c r="S103" s="2"/>
      <c r="T103" s="2"/>
      <c r="U103" s="2"/>
      <c r="V103" s="3"/>
      <c r="W103" s="3"/>
      <c r="X103" s="3"/>
      <c r="Y103" s="3"/>
    </row>
    <row r="104" spans="1:25" x14ac:dyDescent="0.35">
      <c r="F104" s="2"/>
      <c r="G104" s="2"/>
      <c r="H104" s="2"/>
      <c r="I104" s="2"/>
      <c r="J104" s="3"/>
      <c r="K104" s="3"/>
      <c r="L104" s="4"/>
      <c r="R104" s="2"/>
      <c r="S104" s="2"/>
      <c r="T104" s="2"/>
      <c r="U104" s="2"/>
      <c r="V104" s="3"/>
      <c r="W104" s="3"/>
      <c r="X104" s="3"/>
      <c r="Y104" s="3"/>
    </row>
    <row r="105" spans="1:25" ht="15.5" x14ac:dyDescent="0.35">
      <c r="A105" s="106" t="s">
        <v>36</v>
      </c>
      <c r="B105" s="106"/>
      <c r="C105" s="106"/>
      <c r="D105" s="106"/>
      <c r="E105" s="106"/>
      <c r="F105" s="2"/>
      <c r="G105" s="2"/>
      <c r="H105" s="2"/>
      <c r="I105" s="2"/>
      <c r="J105" s="3"/>
      <c r="K105" s="3"/>
      <c r="L105" s="4"/>
      <c r="M105" s="106" t="s">
        <v>36</v>
      </c>
      <c r="N105" s="106"/>
      <c r="O105" s="106"/>
      <c r="P105" s="106"/>
      <c r="Q105" s="106"/>
      <c r="R105" s="2"/>
      <c r="S105" s="2"/>
      <c r="T105" s="2"/>
      <c r="U105" s="2"/>
      <c r="V105" s="3"/>
      <c r="W105" s="3"/>
      <c r="X105" s="3"/>
      <c r="Y105" s="3"/>
    </row>
    <row r="106" spans="1:25" x14ac:dyDescent="0.35">
      <c r="A106" s="33" t="s">
        <v>3</v>
      </c>
      <c r="B106" s="34" t="s">
        <v>4</v>
      </c>
      <c r="C106" s="35" t="s">
        <v>5</v>
      </c>
      <c r="D106" s="35" t="s">
        <v>6</v>
      </c>
      <c r="E106" s="36" t="s">
        <v>7</v>
      </c>
      <c r="F106" s="2"/>
      <c r="G106" s="2"/>
      <c r="H106" s="2"/>
      <c r="I106" s="2"/>
      <c r="J106" s="3"/>
      <c r="K106" s="3"/>
      <c r="L106" s="4"/>
      <c r="M106" s="33" t="s">
        <v>3</v>
      </c>
      <c r="N106" s="34" t="s">
        <v>4</v>
      </c>
      <c r="O106" s="35" t="s">
        <v>5</v>
      </c>
      <c r="P106" s="35" t="s">
        <v>6</v>
      </c>
      <c r="Q106" s="36" t="s">
        <v>7</v>
      </c>
      <c r="R106" s="2"/>
      <c r="S106" s="2"/>
      <c r="T106" s="2"/>
      <c r="U106" s="2"/>
      <c r="V106" s="3"/>
      <c r="W106" s="3"/>
      <c r="X106" s="3"/>
      <c r="Y106" s="3"/>
    </row>
    <row r="107" spans="1:25" x14ac:dyDescent="0.35">
      <c r="A107" s="19" t="s">
        <v>8</v>
      </c>
      <c r="B107" s="37">
        <v>14</v>
      </c>
      <c r="C107" s="37">
        <v>0</v>
      </c>
      <c r="D107" s="37" t="s">
        <v>9</v>
      </c>
      <c r="E107" s="20">
        <v>12000</v>
      </c>
      <c r="F107" s="2"/>
      <c r="G107" s="2"/>
      <c r="H107" s="2"/>
      <c r="I107" s="2"/>
      <c r="J107" s="3"/>
      <c r="K107" s="3"/>
      <c r="L107" s="4"/>
      <c r="M107" s="19" t="s">
        <v>8</v>
      </c>
      <c r="N107" s="37">
        <v>14</v>
      </c>
      <c r="O107" s="37">
        <v>0</v>
      </c>
      <c r="P107" s="37" t="s">
        <v>9</v>
      </c>
      <c r="Q107" s="20">
        <v>12000</v>
      </c>
      <c r="R107" s="2"/>
      <c r="S107" s="2"/>
      <c r="T107" s="2"/>
      <c r="U107" s="2"/>
      <c r="V107" s="3"/>
      <c r="W107" s="3"/>
      <c r="X107" s="3"/>
      <c r="Y107" s="3"/>
    </row>
    <row r="108" spans="1:25" x14ac:dyDescent="0.35">
      <c r="A108" s="19" t="s">
        <v>10</v>
      </c>
      <c r="B108" s="37">
        <v>6</v>
      </c>
      <c r="C108" s="37">
        <v>2</v>
      </c>
      <c r="D108" s="37" t="s">
        <v>11</v>
      </c>
      <c r="E108" s="20">
        <v>4000</v>
      </c>
      <c r="F108" s="2"/>
      <c r="G108" s="2"/>
      <c r="H108" s="2"/>
      <c r="I108" s="2"/>
      <c r="J108" s="3"/>
      <c r="K108" s="3"/>
      <c r="L108" s="4"/>
      <c r="M108" s="19" t="s">
        <v>10</v>
      </c>
      <c r="N108" s="37">
        <v>6</v>
      </c>
      <c r="O108" s="37">
        <v>2</v>
      </c>
      <c r="P108" s="37" t="s">
        <v>11</v>
      </c>
      <c r="Q108" s="20">
        <v>4000</v>
      </c>
      <c r="R108" s="2"/>
      <c r="S108" s="2"/>
      <c r="T108" s="2"/>
      <c r="U108" s="2"/>
      <c r="V108" s="3"/>
      <c r="W108" s="3"/>
      <c r="X108" s="3"/>
      <c r="Y108" s="3"/>
    </row>
    <row r="109" spans="1:25" x14ac:dyDescent="0.35">
      <c r="A109" s="19" t="s">
        <v>12</v>
      </c>
      <c r="B109" s="37">
        <v>17</v>
      </c>
      <c r="C109" s="37">
        <v>0</v>
      </c>
      <c r="D109" s="37" t="s">
        <v>9</v>
      </c>
      <c r="E109" s="20">
        <v>3000</v>
      </c>
      <c r="F109" s="2"/>
      <c r="G109" s="2"/>
      <c r="H109" s="2"/>
      <c r="I109" s="2"/>
      <c r="J109" s="3"/>
      <c r="K109" s="3"/>
      <c r="L109" s="4"/>
      <c r="M109" s="19" t="s">
        <v>12</v>
      </c>
      <c r="N109" s="37">
        <v>17</v>
      </c>
      <c r="O109" s="37">
        <v>0</v>
      </c>
      <c r="P109" s="37" t="s">
        <v>9</v>
      </c>
      <c r="Q109" s="20">
        <v>3000</v>
      </c>
      <c r="R109" s="2"/>
      <c r="S109" s="2"/>
      <c r="T109" s="2"/>
      <c r="U109" s="2"/>
      <c r="V109" s="3"/>
      <c r="W109" s="3"/>
      <c r="X109" s="3"/>
      <c r="Y109" s="3"/>
    </row>
    <row r="110" spans="1:25" x14ac:dyDescent="0.35">
      <c r="A110" s="19" t="s">
        <v>13</v>
      </c>
      <c r="B110" s="37">
        <v>11</v>
      </c>
      <c r="C110" s="37">
        <v>10</v>
      </c>
      <c r="D110" s="37" t="s">
        <v>9</v>
      </c>
      <c r="E110" s="20">
        <v>14000</v>
      </c>
      <c r="F110" s="2"/>
      <c r="G110" s="2"/>
      <c r="H110" s="2"/>
      <c r="I110" s="2"/>
      <c r="J110" s="3"/>
      <c r="K110" s="3"/>
      <c r="L110" s="4"/>
      <c r="M110" s="19" t="s">
        <v>13</v>
      </c>
      <c r="N110" s="37">
        <v>11</v>
      </c>
      <c r="O110" s="37">
        <v>10</v>
      </c>
      <c r="P110" s="37" t="s">
        <v>9</v>
      </c>
      <c r="Q110" s="20">
        <v>14000</v>
      </c>
      <c r="R110" s="2"/>
      <c r="S110" s="2"/>
      <c r="T110" s="2"/>
      <c r="U110" s="2"/>
      <c r="V110" s="3"/>
      <c r="W110" s="3"/>
      <c r="X110" s="3"/>
      <c r="Y110" s="3"/>
    </row>
    <row r="111" spans="1:25" x14ac:dyDescent="0.35">
      <c r="A111" s="19" t="s">
        <v>14</v>
      </c>
      <c r="B111" s="37">
        <v>16</v>
      </c>
      <c r="C111" s="37">
        <v>0</v>
      </c>
      <c r="D111" s="37" t="s">
        <v>11</v>
      </c>
      <c r="E111" s="20">
        <v>7000</v>
      </c>
      <c r="F111" s="2"/>
      <c r="G111" s="2"/>
      <c r="H111" s="2"/>
      <c r="I111" s="2"/>
      <c r="J111" s="3"/>
      <c r="K111" s="3"/>
      <c r="L111" s="4"/>
      <c r="M111" s="19" t="s">
        <v>14</v>
      </c>
      <c r="N111" s="37">
        <v>16</v>
      </c>
      <c r="O111" s="37">
        <v>0</v>
      </c>
      <c r="P111" s="37" t="s">
        <v>11</v>
      </c>
      <c r="Q111" s="20">
        <v>7000</v>
      </c>
      <c r="R111" s="2"/>
      <c r="S111" s="2"/>
      <c r="T111" s="2"/>
      <c r="U111" s="2"/>
      <c r="V111" s="3"/>
      <c r="W111" s="3"/>
      <c r="X111" s="3"/>
      <c r="Y111" s="3"/>
    </row>
    <row r="112" spans="1:25" x14ac:dyDescent="0.35">
      <c r="A112" s="19" t="s">
        <v>15</v>
      </c>
      <c r="B112" s="37">
        <v>7</v>
      </c>
      <c r="C112" s="37">
        <v>0</v>
      </c>
      <c r="D112" s="37" t="s">
        <v>11</v>
      </c>
      <c r="E112" s="20">
        <v>8000</v>
      </c>
      <c r="F112" s="2"/>
      <c r="G112" s="2"/>
      <c r="H112" s="2"/>
      <c r="I112" s="2"/>
      <c r="J112" s="3"/>
      <c r="K112" s="3"/>
      <c r="L112" s="4"/>
      <c r="M112" s="19" t="s">
        <v>15</v>
      </c>
      <c r="N112" s="37">
        <v>7</v>
      </c>
      <c r="O112" s="37">
        <v>2</v>
      </c>
      <c r="P112" s="37" t="s">
        <v>11</v>
      </c>
      <c r="Q112" s="20">
        <v>8000</v>
      </c>
      <c r="R112" s="2"/>
      <c r="S112" s="2"/>
      <c r="T112" s="2"/>
      <c r="U112" s="2"/>
      <c r="V112" s="3"/>
      <c r="W112" s="3"/>
      <c r="X112" s="3"/>
      <c r="Y112" s="3"/>
    </row>
    <row r="113" spans="1:25" x14ac:dyDescent="0.35">
      <c r="A113" s="19" t="s">
        <v>16</v>
      </c>
      <c r="B113" s="37">
        <v>14</v>
      </c>
      <c r="C113" s="37">
        <v>2</v>
      </c>
      <c r="D113" s="37" t="s">
        <v>9</v>
      </c>
      <c r="E113" s="20">
        <v>2000</v>
      </c>
      <c r="F113" s="2"/>
      <c r="G113" s="2"/>
      <c r="H113" s="2"/>
      <c r="I113" s="2"/>
      <c r="J113" s="3"/>
      <c r="K113" s="3"/>
      <c r="L113" s="4"/>
      <c r="M113" s="19" t="s">
        <v>16</v>
      </c>
      <c r="N113" s="37">
        <v>14</v>
      </c>
      <c r="O113" s="37">
        <v>2</v>
      </c>
      <c r="P113" s="37" t="s">
        <v>9</v>
      </c>
      <c r="Q113" s="20">
        <v>2000</v>
      </c>
      <c r="R113" s="2"/>
      <c r="S113" s="2"/>
      <c r="T113" s="2"/>
      <c r="U113" s="2"/>
      <c r="V113" s="3"/>
      <c r="W113" s="3"/>
      <c r="X113" s="3"/>
      <c r="Y113" s="3"/>
    </row>
    <row r="114" spans="1:25" ht="15" thickBot="1" x14ac:dyDescent="0.4">
      <c r="A114" s="21" t="s">
        <v>17</v>
      </c>
      <c r="B114" s="38">
        <v>15</v>
      </c>
      <c r="C114" s="38">
        <v>1</v>
      </c>
      <c r="D114" s="38" t="s">
        <v>9</v>
      </c>
      <c r="E114" s="22">
        <v>10000</v>
      </c>
      <c r="F114" s="2"/>
      <c r="G114" s="2"/>
      <c r="H114" s="2"/>
      <c r="I114" s="2"/>
      <c r="J114" s="3"/>
      <c r="K114" s="3"/>
      <c r="L114" s="4"/>
      <c r="M114" s="21" t="s">
        <v>17</v>
      </c>
      <c r="N114" s="38">
        <v>15</v>
      </c>
      <c r="O114" s="38">
        <v>1</v>
      </c>
      <c r="P114" s="38" t="s">
        <v>9</v>
      </c>
      <c r="Q114" s="22">
        <v>10000</v>
      </c>
      <c r="R114" s="2"/>
      <c r="S114" s="2"/>
      <c r="T114" s="2"/>
      <c r="U114" s="2"/>
      <c r="V114" s="3"/>
      <c r="W114" s="3"/>
      <c r="X114" s="3"/>
      <c r="Y114" s="3"/>
    </row>
    <row r="115" spans="1:25" x14ac:dyDescent="0.35">
      <c r="F115" s="2"/>
      <c r="G115" s="2"/>
      <c r="H115" s="2"/>
      <c r="I115" s="2"/>
      <c r="J115" s="3"/>
      <c r="K115" s="3"/>
      <c r="L115" s="4"/>
      <c r="R115" s="2"/>
      <c r="S115" s="2"/>
      <c r="T115" s="2"/>
      <c r="U115" s="2"/>
      <c r="V115" s="3"/>
      <c r="W115" s="3"/>
      <c r="X115" s="3"/>
      <c r="Y115" s="3"/>
    </row>
    <row r="116" spans="1:25" x14ac:dyDescent="0.35">
      <c r="F116" s="2"/>
      <c r="G116" s="2"/>
      <c r="H116" s="2"/>
      <c r="I116" s="2"/>
      <c r="J116" s="3"/>
      <c r="K116" s="3"/>
      <c r="L116" s="4"/>
      <c r="R116" s="2"/>
      <c r="S116" s="2"/>
      <c r="T116" s="2"/>
      <c r="U116" s="2"/>
      <c r="V116" s="3"/>
      <c r="W116" s="3"/>
      <c r="X116" s="3"/>
      <c r="Y116" s="3"/>
    </row>
    <row r="117" spans="1:25" ht="32.25" customHeight="1" x14ac:dyDescent="0.35">
      <c r="A117" s="106" t="s">
        <v>37</v>
      </c>
      <c r="B117" s="106"/>
      <c r="C117" s="106"/>
      <c r="F117" s="2"/>
      <c r="G117" s="2"/>
      <c r="H117" s="2"/>
      <c r="I117" s="2"/>
      <c r="J117" s="3"/>
      <c r="K117" s="3"/>
      <c r="L117" s="4"/>
      <c r="M117" s="106" t="s">
        <v>37</v>
      </c>
      <c r="N117" s="106"/>
      <c r="O117" s="106"/>
      <c r="R117" s="2"/>
      <c r="S117" s="2"/>
      <c r="T117" s="2"/>
      <c r="U117" s="2"/>
      <c r="V117" s="3"/>
      <c r="W117" s="3"/>
      <c r="X117" s="3"/>
      <c r="Y117" s="3"/>
    </row>
    <row r="118" spans="1:25" x14ac:dyDescent="0.35">
      <c r="A118" s="39" t="s">
        <v>3</v>
      </c>
      <c r="B118" s="39" t="s">
        <v>38</v>
      </c>
      <c r="C118" s="40" t="s">
        <v>39</v>
      </c>
      <c r="F118" s="2"/>
      <c r="G118" s="2"/>
      <c r="H118" s="2"/>
      <c r="I118" s="2"/>
      <c r="J118" s="3"/>
      <c r="K118" s="3"/>
      <c r="L118" s="4"/>
      <c r="M118" s="39" t="s">
        <v>3</v>
      </c>
      <c r="N118" s="39" t="s">
        <v>38</v>
      </c>
      <c r="O118" s="40" t="s">
        <v>39</v>
      </c>
      <c r="R118" s="2"/>
      <c r="S118" s="2"/>
      <c r="T118" s="2"/>
      <c r="U118" s="2"/>
      <c r="V118" s="3"/>
      <c r="W118" s="3"/>
      <c r="X118" s="3"/>
      <c r="Y118" s="3"/>
    </row>
    <row r="119" spans="1:25" x14ac:dyDescent="0.35">
      <c r="A119" s="10" t="s">
        <v>8</v>
      </c>
      <c r="B119" s="41"/>
      <c r="C119" s="41"/>
      <c r="F119" s="2"/>
      <c r="G119" s="2"/>
      <c r="H119" s="2"/>
      <c r="I119" s="2"/>
      <c r="J119" s="3"/>
      <c r="K119" s="3"/>
      <c r="L119" s="4"/>
      <c r="M119" s="10" t="s">
        <v>8</v>
      </c>
      <c r="N119" s="41"/>
      <c r="O119" s="41"/>
      <c r="R119" s="2"/>
      <c r="S119" s="2"/>
      <c r="T119" s="2"/>
      <c r="U119" s="2"/>
      <c r="V119" s="3"/>
      <c r="W119" s="3"/>
      <c r="X119" s="3"/>
      <c r="Y119" s="3"/>
    </row>
    <row r="120" spans="1:25" x14ac:dyDescent="0.35">
      <c r="A120" s="10" t="s">
        <v>10</v>
      </c>
      <c r="B120" s="41"/>
      <c r="C120" s="41"/>
      <c r="F120" s="2"/>
      <c r="G120" s="2"/>
      <c r="H120" s="2"/>
      <c r="I120" s="2"/>
      <c r="J120" s="3"/>
      <c r="K120" s="3"/>
      <c r="L120" s="4"/>
      <c r="M120" s="10" t="s">
        <v>10</v>
      </c>
      <c r="N120" s="41"/>
      <c r="O120" s="41"/>
      <c r="R120" s="2"/>
      <c r="S120" s="2"/>
      <c r="T120" s="2"/>
      <c r="U120" s="2"/>
      <c r="V120" s="3"/>
      <c r="W120" s="3"/>
      <c r="X120" s="3"/>
      <c r="Y120" s="3"/>
    </row>
    <row r="121" spans="1:25" x14ac:dyDescent="0.35">
      <c r="A121" s="10" t="s">
        <v>12</v>
      </c>
      <c r="B121" s="41">
        <v>45684</v>
      </c>
      <c r="C121" s="41">
        <v>45703</v>
      </c>
      <c r="F121" s="2"/>
      <c r="G121" s="2"/>
      <c r="H121" s="2"/>
      <c r="I121" s="2"/>
      <c r="J121" s="3"/>
      <c r="K121" s="3"/>
      <c r="L121" s="4"/>
      <c r="M121" s="10" t="s">
        <v>12</v>
      </c>
      <c r="N121" s="41">
        <v>45684</v>
      </c>
      <c r="O121" s="41">
        <v>45703</v>
      </c>
      <c r="R121" s="2"/>
      <c r="S121" s="2"/>
      <c r="T121" s="2"/>
      <c r="U121" s="2"/>
      <c r="V121" s="3"/>
      <c r="W121" s="3"/>
      <c r="X121" s="3"/>
      <c r="Y121" s="3"/>
    </row>
    <row r="122" spans="1:25" x14ac:dyDescent="0.35">
      <c r="A122" s="10" t="s">
        <v>13</v>
      </c>
      <c r="B122" s="41">
        <v>45685</v>
      </c>
      <c r="C122" s="41"/>
      <c r="F122" s="2"/>
      <c r="G122" s="2"/>
      <c r="H122" s="2"/>
      <c r="I122" s="2"/>
      <c r="J122" s="3"/>
      <c r="K122" s="3"/>
      <c r="L122" s="4"/>
      <c r="M122" s="10" t="s">
        <v>13</v>
      </c>
      <c r="N122" s="41">
        <v>45685</v>
      </c>
      <c r="O122" s="41"/>
      <c r="R122" s="2"/>
      <c r="S122" s="2"/>
      <c r="T122" s="2"/>
      <c r="U122" s="2"/>
      <c r="V122" s="3"/>
      <c r="W122" s="3"/>
      <c r="X122" s="3"/>
      <c r="Y122" s="3"/>
    </row>
    <row r="123" spans="1:25" x14ac:dyDescent="0.35">
      <c r="A123" s="10" t="s">
        <v>14</v>
      </c>
      <c r="B123" s="41">
        <v>45686</v>
      </c>
      <c r="C123" s="41">
        <v>45731</v>
      </c>
      <c r="F123" s="2"/>
      <c r="G123" s="2"/>
      <c r="H123" s="2"/>
      <c r="I123" s="2"/>
      <c r="J123" s="3"/>
      <c r="K123" s="3"/>
      <c r="L123" s="4"/>
      <c r="M123" s="10" t="s">
        <v>14</v>
      </c>
      <c r="N123" s="41">
        <v>45686</v>
      </c>
      <c r="O123" s="41">
        <v>45731</v>
      </c>
      <c r="R123" s="2"/>
      <c r="S123" s="2"/>
      <c r="T123" s="2"/>
      <c r="U123" s="2"/>
      <c r="V123" s="3"/>
      <c r="W123" s="3"/>
      <c r="X123" s="3"/>
      <c r="Y123" s="3"/>
    </row>
    <row r="124" spans="1:25" x14ac:dyDescent="0.35">
      <c r="A124" s="10" t="s">
        <v>15</v>
      </c>
      <c r="B124" s="41">
        <v>45687</v>
      </c>
      <c r="C124" s="41"/>
      <c r="F124" s="2"/>
      <c r="G124" s="2"/>
      <c r="H124" s="2"/>
      <c r="I124" s="2"/>
      <c r="J124" s="3"/>
      <c r="K124" s="3"/>
      <c r="L124" s="4"/>
      <c r="M124" s="10" t="s">
        <v>15</v>
      </c>
      <c r="N124" s="41">
        <v>45687</v>
      </c>
      <c r="O124" s="41"/>
      <c r="R124" s="2"/>
      <c r="S124" s="2"/>
      <c r="T124" s="2"/>
      <c r="U124" s="2"/>
      <c r="V124" s="3"/>
      <c r="W124" s="3"/>
      <c r="X124" s="3"/>
      <c r="Y124" s="3"/>
    </row>
    <row r="125" spans="1:25" x14ac:dyDescent="0.35">
      <c r="A125" s="10" t="s">
        <v>16</v>
      </c>
      <c r="B125" s="41">
        <v>45688</v>
      </c>
      <c r="C125" s="41">
        <v>45762</v>
      </c>
      <c r="F125" s="2"/>
      <c r="G125" s="2"/>
      <c r="H125" s="2"/>
      <c r="I125" s="2"/>
      <c r="J125" s="3"/>
      <c r="K125" s="3"/>
      <c r="L125" s="4"/>
      <c r="M125" s="10" t="s">
        <v>16</v>
      </c>
      <c r="N125" s="41">
        <v>45688</v>
      </c>
      <c r="O125" s="41">
        <v>45762</v>
      </c>
      <c r="R125" s="2"/>
      <c r="S125" s="2"/>
      <c r="T125" s="2"/>
      <c r="U125" s="2"/>
      <c r="V125" s="3"/>
      <c r="W125" s="3"/>
      <c r="X125" s="3"/>
      <c r="Y125" s="3"/>
    </row>
    <row r="126" spans="1:25" x14ac:dyDescent="0.35">
      <c r="A126" s="10" t="s">
        <v>17</v>
      </c>
      <c r="B126" s="41">
        <v>45689</v>
      </c>
      <c r="C126" s="41"/>
      <c r="F126" s="2"/>
      <c r="G126" s="2"/>
      <c r="H126" s="2"/>
      <c r="I126" s="2"/>
      <c r="J126" s="3"/>
      <c r="K126" s="3"/>
      <c r="L126" s="4"/>
      <c r="M126" s="10" t="s">
        <v>17</v>
      </c>
      <c r="N126" s="41">
        <v>45689</v>
      </c>
      <c r="O126" s="41"/>
      <c r="R126" s="2"/>
      <c r="S126" s="2"/>
      <c r="T126" s="2"/>
      <c r="U126" s="2"/>
      <c r="V126" s="3"/>
      <c r="W126" s="3"/>
      <c r="X126" s="3"/>
      <c r="Y126" s="3"/>
    </row>
    <row r="127" spans="1:25" x14ac:dyDescent="0.35">
      <c r="B127" s="42"/>
      <c r="C127" s="42"/>
      <c r="F127" s="2"/>
      <c r="G127" s="2"/>
      <c r="H127" s="2"/>
      <c r="I127" s="2"/>
      <c r="J127" s="3"/>
      <c r="K127" s="3"/>
      <c r="L127" s="4"/>
      <c r="N127" s="42"/>
      <c r="O127" s="42"/>
      <c r="R127" s="2"/>
      <c r="S127" s="2"/>
      <c r="T127" s="2"/>
      <c r="U127" s="2"/>
      <c r="V127" s="3"/>
      <c r="W127" s="3"/>
      <c r="X127" s="3"/>
      <c r="Y127" s="3"/>
    </row>
    <row r="128" spans="1:25" x14ac:dyDescent="0.35">
      <c r="B128" s="42"/>
      <c r="C128" s="42"/>
      <c r="F128" s="2"/>
      <c r="G128" s="2"/>
      <c r="H128" s="2"/>
      <c r="I128" s="2"/>
      <c r="J128" s="3"/>
      <c r="K128" s="3"/>
      <c r="L128" s="4"/>
      <c r="N128" s="42"/>
      <c r="O128" s="42"/>
      <c r="R128" s="2"/>
      <c r="S128" s="2"/>
      <c r="T128" s="2"/>
      <c r="U128" s="2"/>
      <c r="V128" s="3"/>
      <c r="W128" s="3"/>
      <c r="X128" s="3"/>
      <c r="Y128" s="3"/>
    </row>
    <row r="129" spans="1:25" ht="45" customHeight="1" x14ac:dyDescent="0.35">
      <c r="A129" s="106" t="s">
        <v>40</v>
      </c>
      <c r="B129" s="106"/>
      <c r="C129" s="42"/>
      <c r="F129" s="2"/>
      <c r="G129" s="2"/>
      <c r="H129" s="2"/>
      <c r="I129" s="2"/>
      <c r="J129" s="3"/>
      <c r="K129" s="3"/>
      <c r="L129" s="4"/>
      <c r="M129" s="106" t="s">
        <v>40</v>
      </c>
      <c r="N129" s="106"/>
      <c r="O129" s="42"/>
      <c r="R129" s="2"/>
      <c r="S129" s="2"/>
      <c r="T129" s="2"/>
      <c r="U129" s="2"/>
      <c r="V129" s="3"/>
      <c r="W129" s="3"/>
      <c r="X129" s="3"/>
      <c r="Y129" s="3"/>
    </row>
    <row r="130" spans="1:25" x14ac:dyDescent="0.35">
      <c r="A130" s="24" t="s">
        <v>41</v>
      </c>
      <c r="B130" s="24">
        <v>10</v>
      </c>
      <c r="C130" s="42"/>
      <c r="F130" s="2"/>
      <c r="G130" s="2"/>
      <c r="H130" s="2"/>
      <c r="I130" s="2"/>
      <c r="J130" s="3"/>
      <c r="K130" s="3"/>
      <c r="L130" s="4"/>
      <c r="M130" s="24" t="s">
        <v>41</v>
      </c>
      <c r="N130" s="24">
        <v>10</v>
      </c>
      <c r="O130" s="42"/>
      <c r="R130" s="2"/>
      <c r="S130" s="2"/>
      <c r="T130" s="2"/>
      <c r="U130" s="2"/>
      <c r="V130" s="3"/>
      <c r="W130" s="3"/>
      <c r="X130" s="3"/>
      <c r="Y130" s="3"/>
    </row>
    <row r="131" spans="1:25" x14ac:dyDescent="0.35">
      <c r="A131" s="10" t="s">
        <v>42</v>
      </c>
      <c r="B131" s="10">
        <v>6</v>
      </c>
      <c r="C131" s="42"/>
      <c r="F131" s="2"/>
      <c r="G131" s="2"/>
      <c r="H131" s="2"/>
      <c r="I131" s="2"/>
      <c r="J131" s="3"/>
      <c r="K131" s="3"/>
      <c r="L131" s="4"/>
      <c r="M131" s="10" t="s">
        <v>42</v>
      </c>
      <c r="N131" s="10">
        <v>20</v>
      </c>
      <c r="O131" s="42"/>
      <c r="R131" s="2"/>
      <c r="S131" s="2"/>
      <c r="T131" s="2"/>
      <c r="U131" s="2"/>
      <c r="V131" s="3"/>
      <c r="W131" s="3"/>
      <c r="X131" s="3"/>
      <c r="Y131" s="3"/>
    </row>
    <row r="132" spans="1:25" x14ac:dyDescent="0.35">
      <c r="A132" s="10" t="s">
        <v>43</v>
      </c>
      <c r="B132" s="10">
        <v>30</v>
      </c>
      <c r="C132" s="42"/>
      <c r="F132" s="2"/>
      <c r="G132" s="2"/>
      <c r="H132" s="2"/>
      <c r="I132" s="2"/>
      <c r="J132" s="3"/>
      <c r="K132" s="3"/>
      <c r="L132" s="4"/>
      <c r="M132" s="10" t="s">
        <v>43</v>
      </c>
      <c r="N132" s="10">
        <v>30</v>
      </c>
      <c r="O132" s="42"/>
      <c r="R132" s="2"/>
      <c r="S132" s="2"/>
      <c r="T132" s="2"/>
      <c r="U132" s="2"/>
      <c r="V132" s="3"/>
      <c r="W132" s="3"/>
      <c r="X132" s="3"/>
      <c r="Y132" s="3"/>
    </row>
    <row r="133" spans="1:25" x14ac:dyDescent="0.35">
      <c r="A133" s="10" t="s">
        <v>44</v>
      </c>
      <c r="B133" s="118">
        <v>9</v>
      </c>
      <c r="C133" s="42"/>
      <c r="F133" s="2"/>
      <c r="G133" s="2"/>
      <c r="H133" s="2"/>
      <c r="I133" s="2"/>
      <c r="J133" s="3"/>
      <c r="K133" s="3"/>
      <c r="L133" s="4"/>
      <c r="M133" s="10" t="s">
        <v>44</v>
      </c>
      <c r="N133" s="10">
        <v>90</v>
      </c>
      <c r="O133" s="42"/>
      <c r="R133" s="2"/>
      <c r="S133" s="2"/>
      <c r="T133" s="2"/>
      <c r="U133" s="2"/>
      <c r="V133" s="3"/>
      <c r="W133" s="3"/>
      <c r="X133" s="3"/>
      <c r="Y133" s="3"/>
    </row>
    <row r="134" spans="1:25" x14ac:dyDescent="0.35">
      <c r="A134" s="119" t="s">
        <v>45</v>
      </c>
      <c r="B134" s="119">
        <f>SUM(B130:B133)</f>
        <v>55</v>
      </c>
      <c r="C134" s="42"/>
      <c r="F134" s="2"/>
      <c r="G134" s="2"/>
      <c r="H134" s="2"/>
      <c r="I134" s="2"/>
      <c r="J134" s="3"/>
      <c r="K134" s="3"/>
      <c r="L134" s="4"/>
      <c r="M134" s="43" t="s">
        <v>45</v>
      </c>
      <c r="N134" s="43">
        <f>SUM(N130:N133)</f>
        <v>150</v>
      </c>
      <c r="O134" s="42"/>
      <c r="R134" s="2"/>
      <c r="S134" s="2"/>
      <c r="T134" s="2"/>
      <c r="U134" s="2"/>
      <c r="V134" s="3"/>
      <c r="W134" s="3"/>
      <c r="X134" s="3"/>
      <c r="Y134" s="3"/>
    </row>
    <row r="135" spans="1:25" x14ac:dyDescent="0.35">
      <c r="B135" s="42"/>
      <c r="C135" s="42"/>
      <c r="F135" s="2"/>
      <c r="G135" s="2"/>
      <c r="H135" s="2"/>
      <c r="I135" s="2"/>
      <c r="J135" s="3"/>
      <c r="K135" s="3"/>
      <c r="L135" s="4"/>
      <c r="N135" s="42"/>
      <c r="O135" s="42"/>
      <c r="R135" s="2"/>
      <c r="S135" s="2"/>
      <c r="T135" s="2"/>
      <c r="U135" s="2"/>
      <c r="V135" s="3"/>
      <c r="W135" s="3"/>
      <c r="X135" s="3"/>
      <c r="Y135" s="3"/>
    </row>
    <row r="136" spans="1:25" s="44" customFormat="1" x14ac:dyDescent="0.35">
      <c r="L136" s="45"/>
    </row>
    <row r="137" spans="1:25" ht="15.5" x14ac:dyDescent="0.35">
      <c r="A137" s="106" t="s">
        <v>46</v>
      </c>
      <c r="B137" s="106"/>
      <c r="C137" s="106"/>
      <c r="M137" s="106" t="s">
        <v>46</v>
      </c>
      <c r="N137" s="106"/>
      <c r="O137" s="106"/>
    </row>
    <row r="138" spans="1:25" x14ac:dyDescent="0.35">
      <c r="A138" s="19">
        <v>1</v>
      </c>
      <c r="B138" s="37">
        <v>3</v>
      </c>
      <c r="C138" s="20" t="s">
        <v>47</v>
      </c>
      <c r="M138" s="19">
        <v>1</v>
      </c>
      <c r="N138" s="37">
        <v>3</v>
      </c>
      <c r="O138" s="20" t="s">
        <v>47</v>
      </c>
    </row>
    <row r="139" spans="1:25" x14ac:dyDescent="0.35">
      <c r="A139" s="19">
        <v>2</v>
      </c>
      <c r="B139" s="37">
        <v>6</v>
      </c>
      <c r="C139" s="20" t="s">
        <v>48</v>
      </c>
      <c r="M139" s="19">
        <v>2</v>
      </c>
      <c r="N139" s="37">
        <v>6</v>
      </c>
      <c r="O139" s="20" t="s">
        <v>48</v>
      </c>
    </row>
    <row r="140" spans="1:25" x14ac:dyDescent="0.35">
      <c r="A140" s="19" t="s">
        <v>49</v>
      </c>
      <c r="B140" s="37" t="s">
        <v>50</v>
      </c>
      <c r="C140" s="20">
        <v>5</v>
      </c>
      <c r="M140" s="19" t="s">
        <v>49</v>
      </c>
      <c r="N140" s="37" t="s">
        <v>50</v>
      </c>
      <c r="O140" s="20">
        <v>5</v>
      </c>
    </row>
    <row r="141" spans="1:25" x14ac:dyDescent="0.35">
      <c r="A141" s="19" t="s">
        <v>51</v>
      </c>
      <c r="B141" s="37">
        <v>10</v>
      </c>
      <c r="C141" s="20">
        <v>6</v>
      </c>
      <c r="M141" s="19" t="s">
        <v>51</v>
      </c>
      <c r="N141" s="37">
        <v>10</v>
      </c>
      <c r="O141" s="20">
        <v>6</v>
      </c>
    </row>
    <row r="142" spans="1:25" x14ac:dyDescent="0.35">
      <c r="A142" s="19">
        <v>4</v>
      </c>
      <c r="B142" s="37">
        <v>12</v>
      </c>
      <c r="C142" s="20">
        <v>9</v>
      </c>
      <c r="M142" s="19">
        <v>4</v>
      </c>
      <c r="N142" s="37">
        <v>12</v>
      </c>
      <c r="O142" s="20">
        <v>9</v>
      </c>
    </row>
    <row r="143" spans="1:25" x14ac:dyDescent="0.35">
      <c r="A143" s="19">
        <v>4</v>
      </c>
      <c r="B143" s="37" t="s">
        <v>49</v>
      </c>
      <c r="C143" s="20">
        <v>1</v>
      </c>
      <c r="M143" s="19">
        <v>4</v>
      </c>
      <c r="N143" s="37" t="s">
        <v>49</v>
      </c>
      <c r="O143" s="20">
        <v>1</v>
      </c>
    </row>
    <row r="144" spans="1:25" x14ac:dyDescent="0.35">
      <c r="A144" s="19">
        <v>6</v>
      </c>
      <c r="B144" s="37" t="s">
        <v>52</v>
      </c>
      <c r="C144" s="20">
        <v>2</v>
      </c>
      <c r="M144" s="19">
        <v>6</v>
      </c>
      <c r="N144" s="37" t="s">
        <v>52</v>
      </c>
      <c r="O144" s="20">
        <v>2</v>
      </c>
    </row>
    <row r="145" spans="1:15" ht="15" thickBot="1" x14ac:dyDescent="0.4">
      <c r="A145" s="21">
        <v>9</v>
      </c>
      <c r="B145" s="38" t="s">
        <v>50</v>
      </c>
      <c r="C145" s="22" t="s">
        <v>53</v>
      </c>
      <c r="M145" s="21">
        <v>9</v>
      </c>
      <c r="N145" s="38" t="s">
        <v>50</v>
      </c>
      <c r="O145" s="22" t="s">
        <v>53</v>
      </c>
    </row>
    <row r="146" spans="1:15" x14ac:dyDescent="0.35">
      <c r="A146" s="37"/>
      <c r="B146" s="37"/>
      <c r="C146" s="37"/>
      <c r="M146" s="37"/>
      <c r="N146" s="37"/>
      <c r="O146" s="37"/>
    </row>
    <row r="147" spans="1:15" x14ac:dyDescent="0.35">
      <c r="A147" s="37"/>
      <c r="B147" s="37"/>
      <c r="C147" s="37"/>
      <c r="M147" s="37"/>
      <c r="N147" s="37"/>
      <c r="O147" s="37"/>
    </row>
    <row r="148" spans="1:15" ht="15.5" x14ac:dyDescent="0.35">
      <c r="A148" s="106" t="s">
        <v>54</v>
      </c>
      <c r="B148" s="106"/>
      <c r="C148" s="106"/>
      <c r="M148" s="106" t="s">
        <v>54</v>
      </c>
      <c r="N148" s="106"/>
      <c r="O148" s="106"/>
    </row>
    <row r="149" spans="1:15" x14ac:dyDescent="0.35">
      <c r="A149" s="19">
        <v>1</v>
      </c>
      <c r="B149" s="37">
        <v>3</v>
      </c>
      <c r="C149" s="20" t="s">
        <v>47</v>
      </c>
      <c r="M149" s="19">
        <v>1</v>
      </c>
      <c r="N149" s="37">
        <v>3</v>
      </c>
      <c r="O149" s="20" t="s">
        <v>47</v>
      </c>
    </row>
    <row r="150" spans="1:15" ht="15.75" customHeight="1" x14ac:dyDescent="0.35">
      <c r="A150" s="19">
        <v>2</v>
      </c>
      <c r="B150" s="37">
        <v>6</v>
      </c>
      <c r="C150" s="20" t="s">
        <v>48</v>
      </c>
      <c r="M150" s="19">
        <v>2</v>
      </c>
      <c r="N150" s="37">
        <v>6</v>
      </c>
      <c r="O150" s="20" t="s">
        <v>48</v>
      </c>
    </row>
    <row r="151" spans="1:15" x14ac:dyDescent="0.35">
      <c r="A151" s="19" t="s">
        <v>49</v>
      </c>
      <c r="B151" s="37" t="s">
        <v>50</v>
      </c>
      <c r="C151" s="20">
        <v>5</v>
      </c>
      <c r="M151" s="19" t="s">
        <v>49</v>
      </c>
      <c r="N151" s="37" t="s">
        <v>50</v>
      </c>
      <c r="O151" s="20">
        <v>5</v>
      </c>
    </row>
    <row r="152" spans="1:15" x14ac:dyDescent="0.35">
      <c r="A152" s="19" t="s">
        <v>51</v>
      </c>
      <c r="B152" s="37">
        <v>10</v>
      </c>
      <c r="C152" s="20">
        <v>6</v>
      </c>
      <c r="M152" s="19" t="s">
        <v>51</v>
      </c>
      <c r="N152" s="37">
        <v>10</v>
      </c>
      <c r="O152" s="20">
        <v>6</v>
      </c>
    </row>
    <row r="153" spans="1:15" x14ac:dyDescent="0.35">
      <c r="A153" s="19">
        <v>4</v>
      </c>
      <c r="B153" s="37">
        <v>12</v>
      </c>
      <c r="C153" s="20">
        <v>9</v>
      </c>
      <c r="M153" s="19">
        <v>4</v>
      </c>
      <c r="N153" s="37">
        <v>12</v>
      </c>
      <c r="O153" s="20">
        <v>9</v>
      </c>
    </row>
    <row r="154" spans="1:15" x14ac:dyDescent="0.35">
      <c r="A154" s="19">
        <v>4</v>
      </c>
      <c r="B154" s="37" t="s">
        <v>49</v>
      </c>
      <c r="C154" s="20">
        <v>1</v>
      </c>
      <c r="M154" s="19">
        <v>4</v>
      </c>
      <c r="N154" s="37" t="s">
        <v>49</v>
      </c>
      <c r="O154" s="20">
        <v>1</v>
      </c>
    </row>
    <row r="155" spans="1:15" x14ac:dyDescent="0.35">
      <c r="A155" s="19">
        <v>6</v>
      </c>
      <c r="B155" s="37" t="s">
        <v>52</v>
      </c>
      <c r="C155" s="20">
        <v>2</v>
      </c>
      <c r="M155" s="19">
        <v>6</v>
      </c>
      <c r="N155" s="37" t="s">
        <v>52</v>
      </c>
      <c r="O155" s="20">
        <v>2</v>
      </c>
    </row>
    <row r="156" spans="1:15" ht="15" thickBot="1" x14ac:dyDescent="0.4">
      <c r="A156" s="21">
        <v>9</v>
      </c>
      <c r="B156" s="38" t="s">
        <v>50</v>
      </c>
      <c r="C156" s="22" t="s">
        <v>53</v>
      </c>
      <c r="M156" s="21">
        <v>9</v>
      </c>
      <c r="N156" s="38" t="s">
        <v>50</v>
      </c>
      <c r="O156" s="22" t="s">
        <v>53</v>
      </c>
    </row>
    <row r="157" spans="1:15" x14ac:dyDescent="0.35">
      <c r="A157" s="37"/>
      <c r="B157" s="37"/>
      <c r="C157" s="37"/>
      <c r="M157" s="37"/>
      <c r="N157" s="37"/>
      <c r="O157" s="37"/>
    </row>
    <row r="158" spans="1:15" x14ac:dyDescent="0.35">
      <c r="A158" s="37"/>
      <c r="B158" s="37"/>
      <c r="C158" s="37"/>
      <c r="M158" s="37"/>
      <c r="N158" s="37"/>
      <c r="O158" s="37"/>
    </row>
    <row r="159" spans="1:15" ht="15.75" customHeight="1" x14ac:dyDescent="0.35">
      <c r="A159" s="106" t="s">
        <v>55</v>
      </c>
      <c r="B159" s="106"/>
      <c r="C159" s="122" t="s">
        <v>232</v>
      </c>
      <c r="D159" s="123"/>
      <c r="E159" s="120"/>
      <c r="F159" s="121"/>
      <c r="M159" s="106" t="s">
        <v>55</v>
      </c>
      <c r="N159" s="106"/>
    </row>
    <row r="160" spans="1:15" x14ac:dyDescent="0.35">
      <c r="A160" s="10" t="s">
        <v>56</v>
      </c>
      <c r="B160" s="10" t="s">
        <v>56</v>
      </c>
      <c r="C160" s="122"/>
      <c r="D160" s="123"/>
      <c r="E160" s="120"/>
      <c r="F160" s="121"/>
      <c r="M160" s="10" t="s">
        <v>56</v>
      </c>
      <c r="N160" s="10" t="s">
        <v>56</v>
      </c>
    </row>
    <row r="161" spans="1:15" x14ac:dyDescent="0.35">
      <c r="A161" s="10" t="s">
        <v>57</v>
      </c>
      <c r="B161" s="10" t="s">
        <v>58</v>
      </c>
      <c r="C161" s="122"/>
      <c r="D161" s="123"/>
      <c r="E161" s="120"/>
      <c r="F161" s="121"/>
      <c r="M161" s="10" t="s">
        <v>57</v>
      </c>
      <c r="N161" s="10" t="s">
        <v>58</v>
      </c>
    </row>
    <row r="162" spans="1:15" x14ac:dyDescent="0.35">
      <c r="A162" s="10" t="s">
        <v>58</v>
      </c>
      <c r="B162" s="10" t="s">
        <v>59</v>
      </c>
      <c r="C162" s="122"/>
      <c r="D162" s="123"/>
      <c r="E162" s="120"/>
      <c r="F162" s="121"/>
      <c r="M162" s="10" t="s">
        <v>58</v>
      </c>
      <c r="N162" s="10" t="s">
        <v>59</v>
      </c>
    </row>
    <row r="163" spans="1:15" x14ac:dyDescent="0.35">
      <c r="A163" s="10" t="s">
        <v>60</v>
      </c>
      <c r="B163" s="10" t="s">
        <v>61</v>
      </c>
      <c r="C163" s="122"/>
      <c r="D163" s="123"/>
      <c r="E163" s="120"/>
      <c r="F163" s="121"/>
      <c r="M163" s="10" t="s">
        <v>60</v>
      </c>
      <c r="N163" s="10" t="s">
        <v>61</v>
      </c>
    </row>
    <row r="164" spans="1:15" x14ac:dyDescent="0.35">
      <c r="A164" s="10" t="s">
        <v>62</v>
      </c>
      <c r="B164" s="10" t="s">
        <v>62</v>
      </c>
      <c r="C164" s="122"/>
      <c r="D164" s="123"/>
      <c r="E164" s="120"/>
      <c r="F164" s="121"/>
      <c r="M164" s="10" t="s">
        <v>62</v>
      </c>
      <c r="N164" s="10" t="s">
        <v>62</v>
      </c>
    </row>
    <row r="165" spans="1:15" x14ac:dyDescent="0.35">
      <c r="A165" s="10" t="s">
        <v>63</v>
      </c>
      <c r="B165" s="10" t="s">
        <v>64</v>
      </c>
      <c r="C165" s="122"/>
      <c r="D165" s="123"/>
      <c r="E165" s="120"/>
      <c r="F165" s="121"/>
      <c r="M165" s="10" t="s">
        <v>63</v>
      </c>
      <c r="N165" s="10" t="s">
        <v>64</v>
      </c>
    </row>
    <row r="166" spans="1:15" x14ac:dyDescent="0.35">
      <c r="A166" s="10" t="s">
        <v>65</v>
      </c>
      <c r="B166" s="10" t="s">
        <v>65</v>
      </c>
      <c r="C166" s="122"/>
      <c r="D166" s="123"/>
      <c r="E166" s="120"/>
      <c r="F166" s="121"/>
      <c r="M166" s="10" t="s">
        <v>65</v>
      </c>
      <c r="N166" s="10" t="s">
        <v>65</v>
      </c>
    </row>
    <row r="167" spans="1:15" x14ac:dyDescent="0.35">
      <c r="A167" s="10" t="s">
        <v>59</v>
      </c>
      <c r="B167" s="10" t="s">
        <v>66</v>
      </c>
      <c r="C167" s="122"/>
      <c r="D167" s="123"/>
      <c r="E167" s="120"/>
      <c r="F167" s="121"/>
      <c r="M167" s="10" t="s">
        <v>59</v>
      </c>
      <c r="N167" s="10" t="s">
        <v>66</v>
      </c>
    </row>
    <row r="168" spans="1:15" x14ac:dyDescent="0.35">
      <c r="A168" s="37"/>
      <c r="B168" s="37"/>
    </row>
    <row r="169" spans="1:15" x14ac:dyDescent="0.35">
      <c r="A169" s="37"/>
      <c r="B169" s="37"/>
      <c r="C169" s="37"/>
      <c r="M169" s="37"/>
      <c r="N169" s="37"/>
      <c r="O169" s="37"/>
    </row>
    <row r="170" spans="1:15" ht="15.75" customHeight="1" x14ac:dyDescent="0.35">
      <c r="A170" s="107" t="s">
        <v>67</v>
      </c>
      <c r="B170" s="108"/>
      <c r="C170" s="108"/>
      <c r="M170" s="106" t="s">
        <v>67</v>
      </c>
      <c r="N170" s="106"/>
      <c r="O170" s="106"/>
    </row>
    <row r="171" spans="1:15" ht="15.75" customHeight="1" x14ac:dyDescent="0.35">
      <c r="A171" s="46" t="s">
        <v>31</v>
      </c>
      <c r="B171" s="46" t="s">
        <v>68</v>
      </c>
      <c r="C171" s="46" t="s">
        <v>69</v>
      </c>
      <c r="M171" s="46" t="s">
        <v>31</v>
      </c>
      <c r="N171" s="46" t="s">
        <v>68</v>
      </c>
      <c r="O171" s="46" t="s">
        <v>69</v>
      </c>
    </row>
    <row r="172" spans="1:15" ht="15.75" customHeight="1" x14ac:dyDescent="0.35">
      <c r="A172" s="46" t="s">
        <v>70</v>
      </c>
      <c r="B172" s="46" t="s">
        <v>71</v>
      </c>
      <c r="C172" s="46" t="s">
        <v>72</v>
      </c>
      <c r="M172" s="46" t="s">
        <v>70</v>
      </c>
      <c r="N172" s="46" t="s">
        <v>71</v>
      </c>
      <c r="O172" s="46" t="s">
        <v>72</v>
      </c>
    </row>
    <row r="173" spans="1:15" ht="15.75" customHeight="1" x14ac:dyDescent="0.35">
      <c r="A173" s="46" t="s">
        <v>73</v>
      </c>
      <c r="B173" s="46" t="s">
        <v>74</v>
      </c>
      <c r="C173" s="46" t="s">
        <v>75</v>
      </c>
      <c r="M173" s="46" t="s">
        <v>73</v>
      </c>
      <c r="N173" s="46" t="s">
        <v>74</v>
      </c>
      <c r="O173" s="46" t="s">
        <v>75</v>
      </c>
    </row>
    <row r="174" spans="1:15" ht="15.75" customHeight="1" x14ac:dyDescent="0.35">
      <c r="A174" s="46" t="s">
        <v>76</v>
      </c>
      <c r="B174" s="46" t="s">
        <v>77</v>
      </c>
      <c r="C174" s="46" t="s">
        <v>78</v>
      </c>
      <c r="M174" s="46" t="s">
        <v>76</v>
      </c>
      <c r="N174" s="46" t="s">
        <v>77</v>
      </c>
      <c r="O174" s="46" t="s">
        <v>78</v>
      </c>
    </row>
    <row r="175" spans="1:15" ht="15.75" customHeight="1" x14ac:dyDescent="0.35">
      <c r="A175" s="46" t="s">
        <v>79</v>
      </c>
      <c r="B175" s="46" t="s">
        <v>80</v>
      </c>
      <c r="C175" s="46" t="s">
        <v>81</v>
      </c>
      <c r="M175" s="46" t="s">
        <v>79</v>
      </c>
      <c r="N175" s="46" t="s">
        <v>80</v>
      </c>
      <c r="O175" s="46" t="s">
        <v>81</v>
      </c>
    </row>
    <row r="176" spans="1:15" ht="15.75" customHeight="1" x14ac:dyDescent="0.35">
      <c r="A176" s="46" t="s">
        <v>82</v>
      </c>
      <c r="B176" s="46" t="s">
        <v>83</v>
      </c>
      <c r="C176" s="46" t="s">
        <v>84</v>
      </c>
      <c r="M176" s="46" t="s">
        <v>82</v>
      </c>
      <c r="N176" s="46" t="s">
        <v>83</v>
      </c>
      <c r="O176" s="46" t="s">
        <v>84</v>
      </c>
    </row>
    <row r="177" spans="1:15" ht="15.75" customHeight="1" x14ac:dyDescent="0.35"/>
    <row r="178" spans="1:15" ht="15.75" customHeight="1" x14ac:dyDescent="0.35"/>
    <row r="179" spans="1:15" ht="15.75" customHeight="1" x14ac:dyDescent="0.35">
      <c r="A179" s="107" t="s">
        <v>85</v>
      </c>
      <c r="B179" s="108"/>
      <c r="C179" s="108"/>
      <c r="M179" s="107" t="s">
        <v>85</v>
      </c>
      <c r="N179" s="108"/>
      <c r="O179" s="108"/>
    </row>
    <row r="180" spans="1:15" ht="15.75" customHeight="1" x14ac:dyDescent="0.35">
      <c r="A180" s="10">
        <f ca="1">RANDBETWEEN(100,1000)</f>
        <v>564</v>
      </c>
      <c r="B180" s="10">
        <f t="shared" ref="B180:C180" ca="1" si="0">RANDBETWEEN(100,1000)</f>
        <v>634</v>
      </c>
      <c r="C180" s="10">
        <f t="shared" ca="1" si="0"/>
        <v>735</v>
      </c>
      <c r="M180" s="10">
        <v>586</v>
      </c>
      <c r="N180" s="10">
        <v>676</v>
      </c>
      <c r="O180" s="10">
        <v>856</v>
      </c>
    </row>
    <row r="181" spans="1:15" ht="15.75" customHeight="1" x14ac:dyDescent="0.35">
      <c r="A181" s="10">
        <f t="shared" ref="A181:C185" ca="1" si="1">RANDBETWEEN(100,1000)</f>
        <v>924</v>
      </c>
      <c r="B181" s="10">
        <f t="shared" ca="1" si="1"/>
        <v>212</v>
      </c>
      <c r="C181" s="10">
        <f t="shared" ca="1" si="1"/>
        <v>376</v>
      </c>
      <c r="M181" s="10">
        <v>485</v>
      </c>
      <c r="N181" s="10">
        <v>874</v>
      </c>
      <c r="O181" s="10">
        <v>115</v>
      </c>
    </row>
    <row r="182" spans="1:15" ht="15.75" customHeight="1" x14ac:dyDescent="0.35">
      <c r="A182" s="10">
        <f t="shared" ca="1" si="1"/>
        <v>885</v>
      </c>
      <c r="B182" s="10">
        <f t="shared" ca="1" si="1"/>
        <v>747</v>
      </c>
      <c r="C182" s="10">
        <f t="shared" ca="1" si="1"/>
        <v>525</v>
      </c>
      <c r="M182" s="10">
        <v>259</v>
      </c>
      <c r="N182" s="10">
        <v>605</v>
      </c>
      <c r="O182" s="10">
        <v>184</v>
      </c>
    </row>
    <row r="183" spans="1:15" ht="15.75" customHeight="1" x14ac:dyDescent="0.35">
      <c r="A183" s="10">
        <f t="shared" ca="1" si="1"/>
        <v>733</v>
      </c>
      <c r="B183" s="10">
        <f t="shared" ca="1" si="1"/>
        <v>566</v>
      </c>
      <c r="C183" s="10">
        <f t="shared" ca="1" si="1"/>
        <v>659</v>
      </c>
      <c r="M183" s="10">
        <v>261</v>
      </c>
      <c r="N183" s="10">
        <v>613</v>
      </c>
      <c r="O183" s="10">
        <v>618</v>
      </c>
    </row>
    <row r="184" spans="1:15" x14ac:dyDescent="0.35">
      <c r="A184" s="10">
        <f t="shared" ca="1" si="1"/>
        <v>445</v>
      </c>
      <c r="B184" s="10">
        <f t="shared" ca="1" si="1"/>
        <v>824</v>
      </c>
      <c r="C184" s="10">
        <f t="shared" ca="1" si="1"/>
        <v>406</v>
      </c>
      <c r="M184" s="10">
        <v>854</v>
      </c>
      <c r="N184" s="10">
        <v>712</v>
      </c>
      <c r="O184" s="10">
        <v>231</v>
      </c>
    </row>
    <row r="185" spans="1:15" x14ac:dyDescent="0.35">
      <c r="A185" s="10">
        <f t="shared" ca="1" si="1"/>
        <v>408</v>
      </c>
      <c r="B185" s="10">
        <f t="shared" ca="1" si="1"/>
        <v>619</v>
      </c>
      <c r="C185" s="10">
        <f t="shared" ca="1" si="1"/>
        <v>922</v>
      </c>
      <c r="M185" s="10">
        <v>655</v>
      </c>
      <c r="N185" s="10">
        <v>409</v>
      </c>
      <c r="O185" s="10">
        <v>758</v>
      </c>
    </row>
    <row r="186" spans="1:15" x14ac:dyDescent="0.35">
      <c r="A186" s="37"/>
      <c r="B186" s="37"/>
      <c r="C186" s="37"/>
      <c r="M186" s="37"/>
      <c r="N186" s="37"/>
      <c r="O186" s="37"/>
    </row>
    <row r="187" spans="1:15" x14ac:dyDescent="0.35">
      <c r="A187" s="37"/>
      <c r="B187" s="37"/>
      <c r="C187" s="37"/>
      <c r="M187" s="37"/>
      <c r="N187" s="37"/>
      <c r="O187" s="37"/>
    </row>
    <row r="188" spans="1:15" ht="15.5" x14ac:dyDescent="0.35">
      <c r="A188" s="107" t="s">
        <v>86</v>
      </c>
      <c r="B188" s="108"/>
      <c r="C188" s="108"/>
      <c r="M188" s="107" t="s">
        <v>86</v>
      </c>
      <c r="N188" s="108"/>
      <c r="O188" s="108"/>
    </row>
    <row r="189" spans="1:15" x14ac:dyDescent="0.35">
      <c r="A189" s="10">
        <f ca="1">RANDBETWEEN(100,1000)</f>
        <v>983</v>
      </c>
      <c r="B189" s="10">
        <f t="shared" ref="B189:C189" ca="1" si="2">RANDBETWEEN(100,1000)</f>
        <v>370</v>
      </c>
      <c r="C189" s="10">
        <f t="shared" ca="1" si="2"/>
        <v>195</v>
      </c>
      <c r="M189" s="10">
        <v>941</v>
      </c>
      <c r="N189" s="10">
        <v>869</v>
      </c>
      <c r="O189" s="10">
        <v>189</v>
      </c>
    </row>
    <row r="190" spans="1:15" x14ac:dyDescent="0.35">
      <c r="A190" s="10">
        <f t="shared" ref="A190:C194" ca="1" si="3">RANDBETWEEN(100,1000)</f>
        <v>494</v>
      </c>
      <c r="B190" s="10">
        <f t="shared" ca="1" si="3"/>
        <v>631</v>
      </c>
      <c r="C190" s="10">
        <f t="shared" ca="1" si="3"/>
        <v>956</v>
      </c>
      <c r="M190" s="10">
        <v>866</v>
      </c>
      <c r="N190" s="10">
        <v>980</v>
      </c>
      <c r="O190" s="10">
        <v>107</v>
      </c>
    </row>
    <row r="191" spans="1:15" x14ac:dyDescent="0.35">
      <c r="A191" s="10">
        <f t="shared" ca="1" si="3"/>
        <v>540</v>
      </c>
      <c r="B191" s="10">
        <f t="shared" ca="1" si="3"/>
        <v>601</v>
      </c>
      <c r="C191" s="10">
        <f t="shared" ca="1" si="3"/>
        <v>609</v>
      </c>
      <c r="M191" s="10">
        <v>258</v>
      </c>
      <c r="N191" s="10">
        <v>362</v>
      </c>
      <c r="O191" s="10">
        <v>615</v>
      </c>
    </row>
    <row r="192" spans="1:15" x14ac:dyDescent="0.35">
      <c r="A192" s="10">
        <f t="shared" ca="1" si="3"/>
        <v>623</v>
      </c>
      <c r="B192" s="10">
        <f t="shared" ca="1" si="3"/>
        <v>731</v>
      </c>
      <c r="C192" s="10">
        <f t="shared" ca="1" si="3"/>
        <v>287</v>
      </c>
      <c r="M192" s="10">
        <v>182</v>
      </c>
      <c r="N192" s="10">
        <v>403</v>
      </c>
      <c r="O192" s="10">
        <v>529</v>
      </c>
    </row>
    <row r="193" spans="1:18" x14ac:dyDescent="0.35">
      <c r="A193" s="10">
        <f t="shared" ca="1" si="3"/>
        <v>695</v>
      </c>
      <c r="B193" s="10">
        <f t="shared" ca="1" si="3"/>
        <v>775</v>
      </c>
      <c r="C193" s="10">
        <f t="shared" ca="1" si="3"/>
        <v>791</v>
      </c>
      <c r="M193" s="10">
        <v>545</v>
      </c>
      <c r="N193" s="10">
        <v>301</v>
      </c>
      <c r="O193" s="10">
        <v>755</v>
      </c>
    </row>
    <row r="194" spans="1:18" x14ac:dyDescent="0.35">
      <c r="A194" s="10">
        <f t="shared" ca="1" si="3"/>
        <v>108</v>
      </c>
      <c r="B194" s="10">
        <f t="shared" ca="1" si="3"/>
        <v>733</v>
      </c>
      <c r="C194" s="10">
        <f t="shared" ca="1" si="3"/>
        <v>173</v>
      </c>
      <c r="M194" s="10">
        <v>368</v>
      </c>
      <c r="N194" s="10">
        <v>547</v>
      </c>
      <c r="O194" s="10">
        <v>944</v>
      </c>
    </row>
    <row r="195" spans="1:18" x14ac:dyDescent="0.35">
      <c r="A195" s="37"/>
      <c r="B195" s="37"/>
      <c r="C195" s="37"/>
      <c r="M195" s="37"/>
      <c r="N195" s="37"/>
      <c r="O195" s="37"/>
    </row>
    <row r="196" spans="1:18" x14ac:dyDescent="0.35">
      <c r="A196" s="37"/>
      <c r="B196" s="37"/>
      <c r="C196" s="37"/>
      <c r="M196" s="37"/>
      <c r="N196" s="37"/>
      <c r="O196" s="37"/>
    </row>
    <row r="197" spans="1:18" ht="15.5" x14ac:dyDescent="0.35">
      <c r="A197" s="107" t="s">
        <v>87</v>
      </c>
      <c r="B197" s="108"/>
      <c r="C197" s="108"/>
      <c r="D197" s="47" t="s">
        <v>88</v>
      </c>
      <c r="E197" s="48">
        <v>4</v>
      </c>
      <c r="F197" s="47" t="s">
        <v>89</v>
      </c>
      <c r="M197" s="107" t="s">
        <v>87</v>
      </c>
      <c r="N197" s="108"/>
      <c r="O197" s="108"/>
      <c r="P197" s="47" t="s">
        <v>88</v>
      </c>
      <c r="Q197" s="48">
        <v>6</v>
      </c>
      <c r="R197" s="47" t="s">
        <v>89</v>
      </c>
    </row>
    <row r="198" spans="1:18" x14ac:dyDescent="0.35">
      <c r="A198" s="10">
        <v>106</v>
      </c>
      <c r="B198" s="10">
        <v>22</v>
      </c>
      <c r="C198" s="10">
        <v>1</v>
      </c>
      <c r="D198" s="122" t="s">
        <v>232</v>
      </c>
      <c r="E198" s="123"/>
      <c r="F198" s="47"/>
      <c r="M198" s="10">
        <v>106</v>
      </c>
      <c r="N198" s="10">
        <v>22</v>
      </c>
      <c r="O198" s="10">
        <v>1</v>
      </c>
      <c r="P198" s="47"/>
      <c r="Q198" s="47"/>
      <c r="R198" s="47"/>
    </row>
    <row r="199" spans="1:18" ht="14.5" customHeight="1" x14ac:dyDescent="0.35">
      <c r="A199" s="10">
        <v>47</v>
      </c>
      <c r="B199" s="10">
        <v>33</v>
      </c>
      <c r="C199" s="10">
        <v>225</v>
      </c>
      <c r="D199" s="122"/>
      <c r="E199" s="123"/>
      <c r="F199" s="47"/>
      <c r="M199" s="10">
        <v>47</v>
      </c>
      <c r="N199" s="10">
        <v>33</v>
      </c>
      <c r="O199" s="10">
        <v>225</v>
      </c>
      <c r="P199" s="47"/>
      <c r="Q199" s="47"/>
      <c r="R199" s="47"/>
    </row>
    <row r="200" spans="1:18" ht="14.5" customHeight="1" x14ac:dyDescent="0.35">
      <c r="A200" s="10">
        <v>250</v>
      </c>
      <c r="B200" s="10">
        <v>44</v>
      </c>
      <c r="C200" s="10">
        <v>33</v>
      </c>
      <c r="D200" s="122"/>
      <c r="E200" s="123"/>
      <c r="F200" s="47"/>
      <c r="M200" s="10">
        <v>250</v>
      </c>
      <c r="N200" s="10">
        <v>44</v>
      </c>
      <c r="O200" s="10">
        <v>33</v>
      </c>
      <c r="P200" s="47"/>
      <c r="Q200" s="47"/>
      <c r="R200" s="47"/>
    </row>
    <row r="201" spans="1:18" ht="14.5" customHeight="1" x14ac:dyDescent="0.35">
      <c r="A201" s="10">
        <v>25</v>
      </c>
      <c r="B201" s="10">
        <v>22</v>
      </c>
      <c r="C201" s="10">
        <v>778</v>
      </c>
      <c r="D201" s="122"/>
      <c r="E201" s="123"/>
      <c r="F201" s="47"/>
      <c r="M201" s="10">
        <v>25</v>
      </c>
      <c r="N201" s="10">
        <v>22</v>
      </c>
      <c r="O201" s="10">
        <v>778</v>
      </c>
      <c r="P201" s="47"/>
      <c r="Q201" s="47"/>
      <c r="R201" s="47"/>
    </row>
    <row r="202" spans="1:18" ht="14.5" customHeight="1" x14ac:dyDescent="0.35">
      <c r="A202" s="10">
        <v>200</v>
      </c>
      <c r="B202" s="10">
        <v>300</v>
      </c>
      <c r="C202" s="10">
        <v>25</v>
      </c>
      <c r="D202" s="122"/>
      <c r="E202" s="123"/>
      <c r="F202" s="47"/>
      <c r="M202" s="10">
        <v>200</v>
      </c>
      <c r="N202" s="10">
        <v>300</v>
      </c>
      <c r="O202" s="10">
        <v>25</v>
      </c>
      <c r="P202" s="47"/>
      <c r="Q202" s="47"/>
      <c r="R202" s="47"/>
    </row>
    <row r="203" spans="1:18" ht="14.5" customHeight="1" x14ac:dyDescent="0.35">
      <c r="A203" s="10">
        <v>47</v>
      </c>
      <c r="B203" s="10">
        <v>30</v>
      </c>
      <c r="C203" s="10">
        <v>14</v>
      </c>
      <c r="D203" s="122"/>
      <c r="E203" s="123"/>
      <c r="F203" s="47"/>
      <c r="M203" s="10">
        <v>47</v>
      </c>
      <c r="N203" s="10">
        <v>30</v>
      </c>
      <c r="O203" s="10">
        <v>14</v>
      </c>
      <c r="P203" s="47"/>
      <c r="Q203" s="47"/>
      <c r="R203" s="47"/>
    </row>
    <row r="204" spans="1:18" ht="14.5" customHeight="1" x14ac:dyDescent="0.35">
      <c r="A204" s="10">
        <v>89</v>
      </c>
      <c r="B204" s="10">
        <v>20</v>
      </c>
      <c r="C204" s="10">
        <v>10</v>
      </c>
      <c r="D204" s="122"/>
      <c r="E204" s="123"/>
      <c r="F204" s="47"/>
      <c r="M204" s="10">
        <v>89</v>
      </c>
      <c r="N204" s="10">
        <v>20</v>
      </c>
      <c r="O204" s="10">
        <v>10</v>
      </c>
      <c r="P204" s="47"/>
      <c r="Q204" s="47"/>
      <c r="R204" s="47"/>
    </row>
    <row r="205" spans="1:18" ht="14.5" customHeight="1" x14ac:dyDescent="0.35">
      <c r="A205" s="10">
        <v>20</v>
      </c>
      <c r="B205" s="10">
        <v>44</v>
      </c>
      <c r="C205" s="10">
        <v>58</v>
      </c>
      <c r="D205" s="122"/>
      <c r="E205" s="123"/>
      <c r="F205" s="47"/>
      <c r="M205" s="10">
        <v>20</v>
      </c>
      <c r="N205" s="10">
        <v>44</v>
      </c>
      <c r="O205" s="10">
        <v>58</v>
      </c>
      <c r="P205" s="47"/>
      <c r="Q205" s="47"/>
      <c r="R205" s="47"/>
    </row>
    <row r="206" spans="1:18" ht="14.5" customHeight="1" x14ac:dyDescent="0.35">
      <c r="A206" s="37"/>
      <c r="B206" s="37"/>
      <c r="C206" s="37"/>
      <c r="D206" s="122"/>
      <c r="E206" s="123"/>
      <c r="F206" s="47"/>
      <c r="M206" s="37"/>
      <c r="N206" s="37"/>
      <c r="O206" s="37"/>
      <c r="P206" s="47"/>
      <c r="Q206" s="47"/>
      <c r="R206" s="47"/>
    </row>
    <row r="207" spans="1:18" ht="14.5" customHeight="1" x14ac:dyDescent="0.35">
      <c r="A207" s="37"/>
      <c r="B207" s="37"/>
      <c r="C207" s="37"/>
      <c r="D207" s="47"/>
      <c r="E207" s="47"/>
      <c r="F207" s="47"/>
      <c r="M207" s="37"/>
      <c r="N207" s="37"/>
      <c r="O207" s="37"/>
      <c r="P207" s="47"/>
      <c r="Q207" s="47"/>
      <c r="R207" s="47"/>
    </row>
    <row r="208" spans="1:18" ht="15.5" x14ac:dyDescent="0.35">
      <c r="A208" s="107" t="s">
        <v>90</v>
      </c>
      <c r="B208" s="108"/>
      <c r="C208" s="108"/>
      <c r="D208" s="47" t="s">
        <v>91</v>
      </c>
      <c r="E208" s="48">
        <v>4</v>
      </c>
      <c r="F208" s="47" t="s">
        <v>89</v>
      </c>
      <c r="M208" s="107" t="s">
        <v>90</v>
      </c>
      <c r="N208" s="108"/>
      <c r="O208" s="108"/>
      <c r="P208" s="47" t="s">
        <v>91</v>
      </c>
      <c r="Q208" s="48">
        <v>5</v>
      </c>
      <c r="R208" s="47" t="s">
        <v>89</v>
      </c>
    </row>
    <row r="209" spans="1:21" x14ac:dyDescent="0.35">
      <c r="A209" s="10">
        <v>106</v>
      </c>
      <c r="B209" s="10">
        <v>22</v>
      </c>
      <c r="C209" s="10">
        <v>1</v>
      </c>
      <c r="M209" s="10">
        <v>106</v>
      </c>
      <c r="N209" s="10">
        <v>22</v>
      </c>
      <c r="O209" s="10">
        <v>1</v>
      </c>
    </row>
    <row r="210" spans="1:21" x14ac:dyDescent="0.35">
      <c r="A210" s="10">
        <v>47</v>
      </c>
      <c r="B210" s="10">
        <v>33</v>
      </c>
      <c r="C210" s="10">
        <v>225</v>
      </c>
      <c r="M210" s="10">
        <v>47</v>
      </c>
      <c r="N210" s="10">
        <v>33</v>
      </c>
      <c r="O210" s="10">
        <v>225</v>
      </c>
    </row>
    <row r="211" spans="1:21" x14ac:dyDescent="0.35">
      <c r="A211" s="10">
        <v>250</v>
      </c>
      <c r="B211" s="10">
        <v>44</v>
      </c>
      <c r="C211" s="10">
        <v>33</v>
      </c>
      <c r="M211" s="10">
        <v>250</v>
      </c>
      <c r="N211" s="10">
        <v>44</v>
      </c>
      <c r="O211" s="10">
        <v>33</v>
      </c>
    </row>
    <row r="212" spans="1:21" x14ac:dyDescent="0.35">
      <c r="A212" s="10">
        <v>25</v>
      </c>
      <c r="B212" s="10">
        <v>22</v>
      </c>
      <c r="C212" s="10">
        <v>778</v>
      </c>
      <c r="M212" s="10">
        <v>25</v>
      </c>
      <c r="N212" s="10">
        <v>22</v>
      </c>
      <c r="O212" s="10">
        <v>778</v>
      </c>
    </row>
    <row r="213" spans="1:21" x14ac:dyDescent="0.35">
      <c r="A213" s="10">
        <v>200</v>
      </c>
      <c r="B213" s="10">
        <v>300</v>
      </c>
      <c r="C213" s="10">
        <v>25</v>
      </c>
      <c r="M213" s="10">
        <v>200</v>
      </c>
      <c r="N213" s="10">
        <v>300</v>
      </c>
      <c r="O213" s="10">
        <v>25</v>
      </c>
    </row>
    <row r="214" spans="1:21" x14ac:dyDescent="0.35">
      <c r="A214" s="10">
        <v>47</v>
      </c>
      <c r="B214" s="10">
        <v>30</v>
      </c>
      <c r="C214" s="10">
        <v>14</v>
      </c>
      <c r="M214" s="10">
        <v>47</v>
      </c>
      <c r="N214" s="10">
        <v>30</v>
      </c>
      <c r="O214" s="10">
        <v>14</v>
      </c>
    </row>
    <row r="215" spans="1:21" x14ac:dyDescent="0.35">
      <c r="A215" s="10">
        <v>89</v>
      </c>
      <c r="B215" s="10">
        <v>20</v>
      </c>
      <c r="C215" s="10">
        <v>10</v>
      </c>
      <c r="M215" s="10">
        <v>89</v>
      </c>
      <c r="N215" s="10">
        <v>20</v>
      </c>
      <c r="O215" s="10">
        <v>10</v>
      </c>
    </row>
    <row r="216" spans="1:21" x14ac:dyDescent="0.35">
      <c r="A216" s="10">
        <v>20</v>
      </c>
      <c r="B216" s="10">
        <v>44</v>
      </c>
      <c r="C216" s="10">
        <v>58</v>
      </c>
      <c r="M216" s="10">
        <v>20</v>
      </c>
      <c r="N216" s="10">
        <v>44</v>
      </c>
      <c r="O216" s="10">
        <v>58</v>
      </c>
    </row>
    <row r="218" spans="1:21" x14ac:dyDescent="0.35">
      <c r="A218" s="47"/>
      <c r="B218" s="47"/>
      <c r="C218" s="47"/>
      <c r="D218" s="47"/>
      <c r="E218" s="47"/>
      <c r="F218" s="47"/>
      <c r="G218" s="47"/>
      <c r="H218" s="47"/>
      <c r="I218" s="47"/>
      <c r="M218" s="47"/>
      <c r="N218" s="47"/>
      <c r="O218" s="47"/>
      <c r="P218" s="47"/>
      <c r="Q218" s="47"/>
      <c r="R218" s="47"/>
      <c r="S218" s="47"/>
      <c r="T218" s="47"/>
      <c r="U218" s="47"/>
    </row>
    <row r="223" spans="1:21" ht="15.5" x14ac:dyDescent="0.35">
      <c r="A223" s="106" t="s">
        <v>92</v>
      </c>
      <c r="B223" s="106"/>
      <c r="C223" s="106"/>
      <c r="D223" s="106"/>
      <c r="E223" s="106"/>
      <c r="F223" s="106"/>
      <c r="G223" s="106"/>
      <c r="M223" s="106" t="s">
        <v>92</v>
      </c>
      <c r="N223" s="106"/>
      <c r="O223" s="106"/>
      <c r="P223" s="106"/>
      <c r="Q223" s="106"/>
      <c r="R223" s="106"/>
      <c r="S223" s="106"/>
    </row>
    <row r="224" spans="1:21" ht="24.75" customHeight="1" x14ac:dyDescent="0.6">
      <c r="A224" s="49" t="s">
        <v>233</v>
      </c>
      <c r="B224" s="50" t="s">
        <v>93</v>
      </c>
      <c r="M224" s="49" t="s">
        <v>49</v>
      </c>
      <c r="N224" s="50" t="s">
        <v>93</v>
      </c>
    </row>
    <row r="225" spans="1:19" x14ac:dyDescent="0.35">
      <c r="A225" s="46" t="s">
        <v>94</v>
      </c>
      <c r="B225" s="46" t="s">
        <v>95</v>
      </c>
      <c r="C225" s="46" t="s">
        <v>96</v>
      </c>
      <c r="D225" s="46" t="s">
        <v>97</v>
      </c>
      <c r="E225" s="46" t="s">
        <v>98</v>
      </c>
      <c r="F225" s="46" t="s">
        <v>99</v>
      </c>
      <c r="G225" s="46" t="s">
        <v>100</v>
      </c>
      <c r="M225" s="46" t="s">
        <v>94</v>
      </c>
      <c r="N225" s="46" t="s">
        <v>95</v>
      </c>
      <c r="O225" s="46" t="s">
        <v>96</v>
      </c>
      <c r="P225" s="46" t="s">
        <v>97</v>
      </c>
      <c r="Q225" s="46" t="s">
        <v>98</v>
      </c>
      <c r="R225" s="46" t="s">
        <v>99</v>
      </c>
      <c r="S225" s="46" t="s">
        <v>100</v>
      </c>
    </row>
    <row r="226" spans="1:19" x14ac:dyDescent="0.35">
      <c r="A226" s="46" t="s">
        <v>101</v>
      </c>
      <c r="B226" s="46" t="s">
        <v>102</v>
      </c>
      <c r="C226" s="46" t="s">
        <v>103</v>
      </c>
      <c r="D226" s="46" t="s">
        <v>104</v>
      </c>
      <c r="E226" s="46" t="s">
        <v>105</v>
      </c>
      <c r="F226" s="46" t="s">
        <v>106</v>
      </c>
      <c r="G226" s="46" t="s">
        <v>107</v>
      </c>
      <c r="M226" s="46" t="s">
        <v>101</v>
      </c>
      <c r="N226" s="46" t="s">
        <v>102</v>
      </c>
      <c r="O226" s="46" t="s">
        <v>103</v>
      </c>
      <c r="P226" s="46" t="s">
        <v>104</v>
      </c>
      <c r="Q226" s="46" t="s">
        <v>105</v>
      </c>
      <c r="R226" s="46" t="s">
        <v>106</v>
      </c>
      <c r="S226" s="46" t="s">
        <v>107</v>
      </c>
    </row>
    <row r="227" spans="1:19" x14ac:dyDescent="0.35">
      <c r="A227" s="46" t="s">
        <v>108</v>
      </c>
      <c r="B227" s="46" t="s">
        <v>109</v>
      </c>
      <c r="C227" s="46" t="s">
        <v>110</v>
      </c>
      <c r="D227" s="46" t="s">
        <v>111</v>
      </c>
      <c r="E227" s="46" t="s">
        <v>112</v>
      </c>
      <c r="F227" s="46" t="s">
        <v>113</v>
      </c>
      <c r="G227" s="46" t="s">
        <v>114</v>
      </c>
      <c r="M227" s="46" t="s">
        <v>108</v>
      </c>
      <c r="N227" s="46" t="s">
        <v>109</v>
      </c>
      <c r="O227" s="46" t="s">
        <v>110</v>
      </c>
      <c r="P227" s="46" t="s">
        <v>111</v>
      </c>
      <c r="Q227" s="46" t="s">
        <v>112</v>
      </c>
      <c r="R227" s="46" t="s">
        <v>113</v>
      </c>
      <c r="S227" s="46" t="s">
        <v>114</v>
      </c>
    </row>
    <row r="228" spans="1:19" x14ac:dyDescent="0.35">
      <c r="A228" s="46" t="s">
        <v>115</v>
      </c>
      <c r="B228" s="46" t="s">
        <v>116</v>
      </c>
      <c r="C228" s="46" t="s">
        <v>117</v>
      </c>
      <c r="D228" s="46" t="s">
        <v>118</v>
      </c>
      <c r="E228" s="46" t="s">
        <v>119</v>
      </c>
      <c r="F228" s="46" t="s">
        <v>120</v>
      </c>
      <c r="G228" s="46" t="s">
        <v>121</v>
      </c>
      <c r="M228" s="46" t="s">
        <v>115</v>
      </c>
      <c r="N228" s="46" t="s">
        <v>116</v>
      </c>
      <c r="O228" s="46" t="s">
        <v>117</v>
      </c>
      <c r="P228" s="46" t="s">
        <v>118</v>
      </c>
      <c r="Q228" s="46" t="s">
        <v>119</v>
      </c>
      <c r="R228" s="46" t="s">
        <v>120</v>
      </c>
      <c r="S228" s="46" t="s">
        <v>121</v>
      </c>
    </row>
    <row r="229" spans="1:19" x14ac:dyDescent="0.35">
      <c r="A229" s="46" t="s">
        <v>122</v>
      </c>
      <c r="B229" s="46" t="s">
        <v>123</v>
      </c>
      <c r="C229" s="46" t="s">
        <v>124</v>
      </c>
      <c r="D229" s="46" t="s">
        <v>125</v>
      </c>
      <c r="E229" s="46" t="s">
        <v>126</v>
      </c>
      <c r="F229" s="46" t="s">
        <v>127</v>
      </c>
      <c r="G229" s="46" t="s">
        <v>128</v>
      </c>
      <c r="M229" s="46" t="s">
        <v>122</v>
      </c>
      <c r="N229" s="46" t="s">
        <v>123</v>
      </c>
      <c r="O229" s="46" t="s">
        <v>124</v>
      </c>
      <c r="P229" s="46" t="s">
        <v>125</v>
      </c>
      <c r="Q229" s="46" t="s">
        <v>126</v>
      </c>
      <c r="R229" s="46" t="s">
        <v>127</v>
      </c>
      <c r="S229" s="46" t="s">
        <v>128</v>
      </c>
    </row>
    <row r="230" spans="1:19" x14ac:dyDescent="0.35">
      <c r="A230" s="46" t="s">
        <v>129</v>
      </c>
      <c r="B230" s="46" t="s">
        <v>130</v>
      </c>
      <c r="C230" s="46" t="s">
        <v>131</v>
      </c>
      <c r="D230" s="46" t="s">
        <v>132</v>
      </c>
      <c r="E230" s="46" t="s">
        <v>133</v>
      </c>
      <c r="F230" s="46" t="s">
        <v>134</v>
      </c>
      <c r="G230" s="46" t="s">
        <v>135</v>
      </c>
      <c r="M230" s="46" t="s">
        <v>129</v>
      </c>
      <c r="N230" s="46" t="s">
        <v>130</v>
      </c>
      <c r="O230" s="46" t="s">
        <v>131</v>
      </c>
      <c r="P230" s="46" t="s">
        <v>132</v>
      </c>
      <c r="Q230" s="46" t="s">
        <v>133</v>
      </c>
      <c r="R230" s="46" t="s">
        <v>134</v>
      </c>
      <c r="S230" s="46" t="s">
        <v>135</v>
      </c>
    </row>
    <row r="231" spans="1:19" x14ac:dyDescent="0.35">
      <c r="A231" s="46" t="s">
        <v>136</v>
      </c>
      <c r="B231" s="46" t="s">
        <v>137</v>
      </c>
      <c r="C231" s="46" t="s">
        <v>138</v>
      </c>
      <c r="D231" s="46" t="s">
        <v>139</v>
      </c>
      <c r="E231" s="46" t="s">
        <v>140</v>
      </c>
      <c r="F231" s="46" t="s">
        <v>141</v>
      </c>
      <c r="G231" s="46" t="s">
        <v>142</v>
      </c>
      <c r="M231" s="46" t="s">
        <v>136</v>
      </c>
      <c r="N231" s="46" t="s">
        <v>137</v>
      </c>
      <c r="O231" s="46" t="s">
        <v>138</v>
      </c>
      <c r="P231" s="46" t="s">
        <v>139</v>
      </c>
      <c r="Q231" s="46" t="s">
        <v>140</v>
      </c>
      <c r="R231" s="46" t="s">
        <v>141</v>
      </c>
      <c r="S231" s="46" t="s">
        <v>142</v>
      </c>
    </row>
    <row r="232" spans="1:19" x14ac:dyDescent="0.35">
      <c r="A232" s="46" t="s">
        <v>143</v>
      </c>
      <c r="B232" s="46" t="s">
        <v>144</v>
      </c>
      <c r="C232" s="46" t="s">
        <v>145</v>
      </c>
      <c r="D232" s="46" t="s">
        <v>146</v>
      </c>
      <c r="E232" s="46" t="s">
        <v>147</v>
      </c>
      <c r="F232" s="46" t="s">
        <v>148</v>
      </c>
      <c r="G232" s="46" t="s">
        <v>149</v>
      </c>
      <c r="M232" s="46" t="s">
        <v>143</v>
      </c>
      <c r="N232" s="46" t="s">
        <v>144</v>
      </c>
      <c r="O232" s="46" t="s">
        <v>145</v>
      </c>
      <c r="P232" s="46" t="s">
        <v>146</v>
      </c>
      <c r="Q232" s="46" t="s">
        <v>147</v>
      </c>
      <c r="R232" s="46" t="s">
        <v>148</v>
      </c>
      <c r="S232" s="46" t="s">
        <v>149</v>
      </c>
    </row>
    <row r="233" spans="1:19" x14ac:dyDescent="0.35">
      <c r="A233" s="46" t="s">
        <v>150</v>
      </c>
      <c r="B233" s="46" t="s">
        <v>151</v>
      </c>
      <c r="C233" s="46" t="s">
        <v>152</v>
      </c>
      <c r="D233" s="46" t="s">
        <v>153</v>
      </c>
      <c r="E233" s="46" t="s">
        <v>154</v>
      </c>
      <c r="F233" s="46" t="s">
        <v>155</v>
      </c>
      <c r="G233" s="46" t="s">
        <v>156</v>
      </c>
      <c r="M233" s="46" t="s">
        <v>150</v>
      </c>
      <c r="N233" s="46" t="s">
        <v>151</v>
      </c>
      <c r="O233" s="46" t="s">
        <v>152</v>
      </c>
      <c r="P233" s="46" t="s">
        <v>153</v>
      </c>
      <c r="Q233" s="46" t="s">
        <v>154</v>
      </c>
      <c r="R233" s="46" t="s">
        <v>155</v>
      </c>
      <c r="S233" s="46" t="s">
        <v>156</v>
      </c>
    </row>
    <row r="234" spans="1:19" x14ac:dyDescent="0.35">
      <c r="A234" s="46" t="s">
        <v>157</v>
      </c>
      <c r="B234" s="46" t="s">
        <v>158</v>
      </c>
      <c r="C234" s="46" t="s">
        <v>159</v>
      </c>
      <c r="D234" s="46" t="s">
        <v>160</v>
      </c>
      <c r="E234" s="46" t="s">
        <v>161</v>
      </c>
      <c r="F234" s="46" t="s">
        <v>162</v>
      </c>
      <c r="G234" s="46" t="s">
        <v>163</v>
      </c>
      <c r="M234" s="46" t="s">
        <v>157</v>
      </c>
      <c r="N234" s="46" t="s">
        <v>158</v>
      </c>
      <c r="O234" s="46" t="s">
        <v>159</v>
      </c>
      <c r="P234" s="46" t="s">
        <v>160</v>
      </c>
      <c r="Q234" s="46" t="s">
        <v>161</v>
      </c>
      <c r="R234" s="46" t="s">
        <v>162</v>
      </c>
      <c r="S234" s="46" t="s">
        <v>163</v>
      </c>
    </row>
    <row r="235" spans="1:19" x14ac:dyDescent="0.35">
      <c r="A235" s="46" t="s">
        <v>164</v>
      </c>
      <c r="B235" s="46" t="s">
        <v>165</v>
      </c>
      <c r="C235" s="46" t="s">
        <v>166</v>
      </c>
      <c r="D235" s="46" t="s">
        <v>167</v>
      </c>
      <c r="E235" s="46" t="s">
        <v>168</v>
      </c>
      <c r="F235" s="46" t="s">
        <v>169</v>
      </c>
      <c r="G235" s="46" t="s">
        <v>170</v>
      </c>
      <c r="M235" s="46" t="s">
        <v>164</v>
      </c>
      <c r="N235" s="46" t="s">
        <v>165</v>
      </c>
      <c r="O235" s="46" t="s">
        <v>166</v>
      </c>
      <c r="P235" s="46" t="s">
        <v>167</v>
      </c>
      <c r="Q235" s="46" t="s">
        <v>168</v>
      </c>
      <c r="R235" s="46" t="s">
        <v>169</v>
      </c>
      <c r="S235" s="46" t="s">
        <v>170</v>
      </c>
    </row>
    <row r="236" spans="1:19" x14ac:dyDescent="0.35">
      <c r="A236" s="46" t="s">
        <v>171</v>
      </c>
      <c r="B236" s="46" t="s">
        <v>172</v>
      </c>
      <c r="C236" s="46" t="s">
        <v>173</v>
      </c>
      <c r="D236" s="46" t="s">
        <v>174</v>
      </c>
      <c r="E236" s="46" t="s">
        <v>175</v>
      </c>
      <c r="F236" s="46" t="s">
        <v>176</v>
      </c>
      <c r="G236" s="46" t="s">
        <v>177</v>
      </c>
      <c r="M236" s="46" t="s">
        <v>171</v>
      </c>
      <c r="N236" s="46" t="s">
        <v>172</v>
      </c>
      <c r="O236" s="46" t="s">
        <v>173</v>
      </c>
      <c r="P236" s="46" t="s">
        <v>174</v>
      </c>
      <c r="Q236" s="46" t="s">
        <v>175</v>
      </c>
      <c r="R236" s="46" t="s">
        <v>176</v>
      </c>
      <c r="S236" s="46" t="s">
        <v>177</v>
      </c>
    </row>
    <row r="237" spans="1:19" x14ac:dyDescent="0.35">
      <c r="A237" s="46" t="s">
        <v>178</v>
      </c>
      <c r="B237" s="46" t="s">
        <v>179</v>
      </c>
      <c r="C237" s="46" t="s">
        <v>180</v>
      </c>
      <c r="D237" s="46" t="s">
        <v>181</v>
      </c>
      <c r="E237" s="46" t="s">
        <v>182</v>
      </c>
      <c r="F237" s="46" t="s">
        <v>183</v>
      </c>
      <c r="G237" s="46" t="s">
        <v>184</v>
      </c>
      <c r="M237" s="46" t="s">
        <v>178</v>
      </c>
      <c r="N237" s="46" t="s">
        <v>179</v>
      </c>
      <c r="O237" s="46" t="s">
        <v>180</v>
      </c>
      <c r="P237" s="46" t="s">
        <v>181</v>
      </c>
      <c r="Q237" s="46" t="s">
        <v>182</v>
      </c>
      <c r="R237" s="46" t="s">
        <v>183</v>
      </c>
      <c r="S237" s="46" t="s">
        <v>184</v>
      </c>
    </row>
    <row r="242" spans="1:25" ht="15.5" x14ac:dyDescent="0.35">
      <c r="A242" s="106" t="s">
        <v>185</v>
      </c>
      <c r="B242" s="106"/>
      <c r="C242" s="106"/>
      <c r="D242" s="106"/>
      <c r="E242" s="106"/>
      <c r="F242" s="106"/>
      <c r="G242" s="106"/>
      <c r="M242" s="106" t="s">
        <v>185</v>
      </c>
      <c r="N242" s="106"/>
      <c r="O242" s="106"/>
      <c r="P242" s="106"/>
      <c r="Q242" s="106"/>
      <c r="R242" s="106"/>
      <c r="S242" s="106"/>
    </row>
    <row r="243" spans="1:25" ht="26.25" customHeight="1" x14ac:dyDescent="0.6">
      <c r="A243" s="49" t="s">
        <v>186</v>
      </c>
      <c r="B243" s="50" t="s">
        <v>187</v>
      </c>
      <c r="M243" s="49" t="s">
        <v>188</v>
      </c>
      <c r="N243" s="50" t="s">
        <v>187</v>
      </c>
    </row>
    <row r="244" spans="1:25" x14ac:dyDescent="0.35">
      <c r="A244" s="10">
        <v>41</v>
      </c>
      <c r="B244" s="10">
        <v>9</v>
      </c>
      <c r="C244" s="10">
        <v>-16</v>
      </c>
      <c r="D244" s="10">
        <v>2</v>
      </c>
      <c r="E244" s="10">
        <v>85</v>
      </c>
      <c r="F244" s="10">
        <v>-57</v>
      </c>
      <c r="G244" s="10">
        <v>43</v>
      </c>
      <c r="H244" s="37"/>
      <c r="I244" s="37"/>
      <c r="J244" s="37"/>
      <c r="K244" s="37"/>
      <c r="L244" s="51"/>
      <c r="M244" s="10">
        <v>41</v>
      </c>
      <c r="N244" s="10">
        <v>9</v>
      </c>
      <c r="O244" s="10">
        <v>-16</v>
      </c>
      <c r="P244" s="10">
        <v>2</v>
      </c>
      <c r="Q244" s="10">
        <v>85</v>
      </c>
      <c r="R244" s="10">
        <v>-57</v>
      </c>
      <c r="S244" s="10">
        <v>43</v>
      </c>
      <c r="T244" s="37"/>
      <c r="U244" s="37"/>
      <c r="V244" s="37"/>
      <c r="W244" s="37"/>
      <c r="X244" s="37"/>
      <c r="Y244" s="37"/>
    </row>
    <row r="245" spans="1:25" x14ac:dyDescent="0.35">
      <c r="A245" s="10">
        <v>-75</v>
      </c>
      <c r="B245" s="10">
        <v>66</v>
      </c>
      <c r="C245" s="10">
        <v>38</v>
      </c>
      <c r="D245" s="10">
        <v>-35</v>
      </c>
      <c r="E245" s="10">
        <v>-17</v>
      </c>
      <c r="F245" s="10">
        <v>-13</v>
      </c>
      <c r="G245" s="10">
        <v>15</v>
      </c>
      <c r="H245" s="37"/>
      <c r="I245" s="37"/>
      <c r="J245" s="37"/>
      <c r="K245" s="37"/>
      <c r="L245" s="51"/>
      <c r="M245" s="10">
        <v>-75</v>
      </c>
      <c r="N245" s="10">
        <v>66</v>
      </c>
      <c r="O245" s="10">
        <v>38</v>
      </c>
      <c r="P245" s="10">
        <v>-35</v>
      </c>
      <c r="Q245" s="10">
        <v>-17</v>
      </c>
      <c r="R245" s="10">
        <v>-13</v>
      </c>
      <c r="S245" s="10">
        <v>15</v>
      </c>
      <c r="T245" s="37"/>
      <c r="U245" s="37"/>
      <c r="V245" s="37"/>
      <c r="W245" s="37"/>
      <c r="X245" s="37"/>
      <c r="Y245" s="37"/>
    </row>
    <row r="246" spans="1:25" x14ac:dyDescent="0.35">
      <c r="A246" s="10">
        <v>-90</v>
      </c>
      <c r="B246" s="10">
        <v>48</v>
      </c>
      <c r="C246" s="10">
        <v>0</v>
      </c>
      <c r="D246" s="10">
        <v>-7</v>
      </c>
      <c r="E246" s="10">
        <v>14</v>
      </c>
      <c r="F246" s="10">
        <v>12</v>
      </c>
      <c r="G246" s="10">
        <v>-18</v>
      </c>
      <c r="H246" s="37"/>
      <c r="I246" s="37"/>
      <c r="J246" s="37"/>
      <c r="K246" s="37"/>
      <c r="L246" s="51"/>
      <c r="M246" s="10">
        <v>-90</v>
      </c>
      <c r="N246" s="10">
        <v>48</v>
      </c>
      <c r="O246" s="10">
        <v>0</v>
      </c>
      <c r="P246" s="10">
        <v>-7</v>
      </c>
      <c r="Q246" s="10">
        <v>14</v>
      </c>
      <c r="R246" s="10">
        <v>12</v>
      </c>
      <c r="S246" s="10">
        <v>-18</v>
      </c>
      <c r="T246" s="37"/>
      <c r="U246" s="37"/>
      <c r="V246" s="37"/>
      <c r="W246" s="37"/>
      <c r="X246" s="37"/>
      <c r="Y246" s="37"/>
    </row>
    <row r="247" spans="1:25" x14ac:dyDescent="0.35">
      <c r="A247" s="10">
        <v>-21</v>
      </c>
      <c r="B247" s="10">
        <v>6</v>
      </c>
      <c r="C247" s="10">
        <v>-18</v>
      </c>
      <c r="D247" s="10">
        <v>83</v>
      </c>
      <c r="E247" s="10">
        <v>69</v>
      </c>
      <c r="F247" s="10">
        <v>-50</v>
      </c>
      <c r="G247" s="10">
        <v>47</v>
      </c>
      <c r="H247" s="37"/>
      <c r="I247" s="37"/>
      <c r="J247" s="37"/>
      <c r="K247" s="37"/>
      <c r="L247" s="51"/>
      <c r="M247" s="10">
        <v>-21</v>
      </c>
      <c r="N247" s="10">
        <v>6</v>
      </c>
      <c r="O247" s="10">
        <v>-18</v>
      </c>
      <c r="P247" s="10">
        <v>83</v>
      </c>
      <c r="Q247" s="10">
        <v>69</v>
      </c>
      <c r="R247" s="10">
        <v>-50</v>
      </c>
      <c r="S247" s="10">
        <v>47</v>
      </c>
      <c r="T247" s="37"/>
      <c r="U247" s="37"/>
      <c r="V247" s="37"/>
      <c r="W247" s="37"/>
      <c r="X247" s="37"/>
      <c r="Y247" s="37"/>
    </row>
    <row r="248" spans="1:25" x14ac:dyDescent="0.35">
      <c r="A248" s="10">
        <v>96</v>
      </c>
      <c r="B248" s="10">
        <v>-84</v>
      </c>
      <c r="C248" s="10">
        <v>-3</v>
      </c>
      <c r="D248" s="10">
        <v>73</v>
      </c>
      <c r="E248" s="10">
        <v>79</v>
      </c>
      <c r="F248" s="10">
        <v>-61</v>
      </c>
      <c r="G248" s="10">
        <v>12</v>
      </c>
      <c r="H248" s="37"/>
      <c r="I248" s="37"/>
      <c r="J248" s="37"/>
      <c r="K248" s="37"/>
      <c r="L248" s="51"/>
      <c r="M248" s="10">
        <v>96</v>
      </c>
      <c r="N248" s="10">
        <v>-84</v>
      </c>
      <c r="O248" s="10">
        <v>-3</v>
      </c>
      <c r="P248" s="10">
        <v>73</v>
      </c>
      <c r="Q248" s="10">
        <v>79</v>
      </c>
      <c r="R248" s="10">
        <v>-61</v>
      </c>
      <c r="S248" s="10">
        <v>12</v>
      </c>
      <c r="T248" s="37"/>
      <c r="U248" s="37"/>
      <c r="V248" s="37"/>
      <c r="W248" s="37"/>
      <c r="X248" s="37"/>
      <c r="Y248" s="37"/>
    </row>
    <row r="249" spans="1:25" x14ac:dyDescent="0.35">
      <c r="A249" s="10">
        <v>5</v>
      </c>
      <c r="B249" s="10">
        <v>80</v>
      </c>
      <c r="C249" s="10">
        <v>51</v>
      </c>
      <c r="D249" s="10">
        <v>3</v>
      </c>
      <c r="E249" s="10">
        <v>-98</v>
      </c>
      <c r="F249" s="10">
        <v>-48</v>
      </c>
      <c r="G249" s="10">
        <v>85</v>
      </c>
      <c r="H249" s="37"/>
      <c r="I249" s="37"/>
      <c r="J249" s="37"/>
      <c r="K249" s="37"/>
      <c r="L249" s="51"/>
      <c r="M249" s="10">
        <v>5</v>
      </c>
      <c r="N249" s="10">
        <v>80</v>
      </c>
      <c r="O249" s="10">
        <v>51</v>
      </c>
      <c r="P249" s="10">
        <v>3</v>
      </c>
      <c r="Q249" s="10">
        <v>-98</v>
      </c>
      <c r="R249" s="10">
        <v>-48</v>
      </c>
      <c r="S249" s="10">
        <v>85</v>
      </c>
      <c r="T249" s="37"/>
      <c r="U249" s="37"/>
      <c r="V249" s="37"/>
      <c r="W249" s="37"/>
      <c r="X249" s="37"/>
      <c r="Y249" s="37"/>
    </row>
    <row r="250" spans="1:25" x14ac:dyDescent="0.35">
      <c r="A250" s="10">
        <v>25</v>
      </c>
      <c r="B250" s="10">
        <v>7</v>
      </c>
      <c r="C250" s="10">
        <v>-69</v>
      </c>
      <c r="D250" s="10">
        <v>71</v>
      </c>
      <c r="E250" s="10">
        <v>-55</v>
      </c>
      <c r="F250" s="10">
        <v>36</v>
      </c>
      <c r="G250" s="10">
        <v>12</v>
      </c>
      <c r="H250" s="37"/>
      <c r="I250" s="37"/>
      <c r="J250" s="37"/>
      <c r="K250" s="37"/>
      <c r="L250" s="51"/>
      <c r="M250" s="10">
        <v>25</v>
      </c>
      <c r="N250" s="10">
        <v>7</v>
      </c>
      <c r="O250" s="10">
        <v>-69</v>
      </c>
      <c r="P250" s="10">
        <v>71</v>
      </c>
      <c r="Q250" s="10">
        <v>-55</v>
      </c>
      <c r="R250" s="10">
        <v>36</v>
      </c>
      <c r="S250" s="10">
        <v>12</v>
      </c>
      <c r="T250" s="37"/>
      <c r="U250" s="37"/>
      <c r="V250" s="37"/>
      <c r="W250" s="37"/>
      <c r="X250" s="37"/>
      <c r="Y250" s="37"/>
    </row>
    <row r="251" spans="1:25" x14ac:dyDescent="0.35">
      <c r="A251" s="10">
        <v>-6</v>
      </c>
      <c r="B251" s="10">
        <v>-23</v>
      </c>
      <c r="C251" s="10">
        <v>8</v>
      </c>
      <c r="D251" s="10">
        <v>-88</v>
      </c>
      <c r="E251" s="10">
        <v>52</v>
      </c>
      <c r="F251" s="10">
        <v>55</v>
      </c>
      <c r="G251" s="10">
        <v>51</v>
      </c>
      <c r="H251" s="37"/>
      <c r="I251" s="37"/>
      <c r="J251" s="37"/>
      <c r="K251" s="37"/>
      <c r="L251" s="51"/>
      <c r="M251" s="10">
        <v>-6</v>
      </c>
      <c r="N251" s="10">
        <v>-23</v>
      </c>
      <c r="O251" s="10">
        <v>8</v>
      </c>
      <c r="P251" s="10">
        <v>-88</v>
      </c>
      <c r="Q251" s="10">
        <v>52</v>
      </c>
      <c r="R251" s="10">
        <v>55</v>
      </c>
      <c r="S251" s="10">
        <v>51</v>
      </c>
      <c r="T251" s="37"/>
      <c r="U251" s="37"/>
      <c r="V251" s="37"/>
      <c r="W251" s="37"/>
      <c r="X251" s="37"/>
      <c r="Y251" s="37"/>
    </row>
    <row r="252" spans="1:25" x14ac:dyDescent="0.35">
      <c r="A252" s="10">
        <v>12</v>
      </c>
      <c r="B252" s="10">
        <v>70</v>
      </c>
      <c r="C252" s="10">
        <v>-38</v>
      </c>
      <c r="D252" s="10">
        <v>38</v>
      </c>
      <c r="E252" s="10">
        <v>-35</v>
      </c>
      <c r="F252" s="10">
        <v>40</v>
      </c>
      <c r="G252" s="10">
        <v>-94</v>
      </c>
      <c r="H252" s="37"/>
      <c r="I252" s="37"/>
      <c r="J252" s="37"/>
      <c r="K252" s="37"/>
      <c r="L252" s="51"/>
      <c r="M252" s="10">
        <v>12</v>
      </c>
      <c r="N252" s="10">
        <v>70</v>
      </c>
      <c r="O252" s="10">
        <v>-38</v>
      </c>
      <c r="P252" s="10">
        <v>38</v>
      </c>
      <c r="Q252" s="10">
        <v>-35</v>
      </c>
      <c r="R252" s="10">
        <v>40</v>
      </c>
      <c r="S252" s="10">
        <v>-94</v>
      </c>
      <c r="T252" s="37"/>
      <c r="U252" s="37"/>
      <c r="V252" s="37"/>
      <c r="W252" s="37"/>
      <c r="X252" s="37"/>
      <c r="Y252" s="37"/>
    </row>
    <row r="253" spans="1:25" x14ac:dyDescent="0.35">
      <c r="A253" s="10">
        <v>20</v>
      </c>
      <c r="B253" s="10">
        <v>89</v>
      </c>
      <c r="C253" s="10">
        <v>14</v>
      </c>
      <c r="D253" s="10">
        <v>-65</v>
      </c>
      <c r="E253" s="10">
        <v>92</v>
      </c>
      <c r="F253" s="10">
        <v>96</v>
      </c>
      <c r="G253" s="10">
        <v>-27</v>
      </c>
      <c r="H253" s="37"/>
      <c r="I253" s="37"/>
      <c r="J253" s="37"/>
      <c r="K253" s="37"/>
      <c r="L253" s="51"/>
      <c r="M253" s="10">
        <v>20</v>
      </c>
      <c r="N253" s="10">
        <v>89</v>
      </c>
      <c r="O253" s="10">
        <v>14</v>
      </c>
      <c r="P253" s="10">
        <v>-65</v>
      </c>
      <c r="Q253" s="10">
        <v>92</v>
      </c>
      <c r="R253" s="10">
        <v>96</v>
      </c>
      <c r="S253" s="10">
        <v>-27</v>
      </c>
      <c r="T253" s="37"/>
      <c r="U253" s="37"/>
      <c r="V253" s="37"/>
      <c r="W253" s="37"/>
      <c r="X253" s="37"/>
      <c r="Y253" s="37"/>
    </row>
    <row r="254" spans="1:25" x14ac:dyDescent="0.35">
      <c r="A254" s="10">
        <v>-80</v>
      </c>
      <c r="B254" s="10">
        <v>-54</v>
      </c>
      <c r="C254" s="10">
        <v>17</v>
      </c>
      <c r="D254" s="10">
        <v>91</v>
      </c>
      <c r="E254" s="10">
        <v>-77</v>
      </c>
      <c r="F254" s="10">
        <v>-5</v>
      </c>
      <c r="G254" s="10">
        <v>-18</v>
      </c>
      <c r="H254" s="37"/>
      <c r="I254" s="37"/>
      <c r="J254" s="37"/>
      <c r="K254" s="37"/>
      <c r="L254" s="51"/>
      <c r="M254" s="10">
        <v>-80</v>
      </c>
      <c r="N254" s="10">
        <v>-54</v>
      </c>
      <c r="O254" s="10">
        <v>17</v>
      </c>
      <c r="P254" s="10">
        <v>91</v>
      </c>
      <c r="Q254" s="10">
        <v>-77</v>
      </c>
      <c r="R254" s="10">
        <v>-5</v>
      </c>
      <c r="S254" s="10">
        <v>-18</v>
      </c>
      <c r="T254" s="37"/>
      <c r="U254" s="37"/>
      <c r="V254" s="37"/>
      <c r="W254" s="37"/>
      <c r="X254" s="37"/>
      <c r="Y254" s="37"/>
    </row>
    <row r="255" spans="1:25" x14ac:dyDescent="0.35">
      <c r="A255" s="10">
        <v>-21</v>
      </c>
      <c r="B255" s="10">
        <v>-25</v>
      </c>
      <c r="C255" s="10">
        <v>-34</v>
      </c>
      <c r="D255" s="10">
        <v>69</v>
      </c>
      <c r="E255" s="10">
        <v>-29</v>
      </c>
      <c r="F255" s="10">
        <v>84</v>
      </c>
      <c r="G255" s="10">
        <v>88</v>
      </c>
      <c r="H255" s="37"/>
      <c r="I255" s="37"/>
      <c r="J255" s="37"/>
      <c r="K255" s="37"/>
      <c r="L255" s="51"/>
      <c r="M255" s="10">
        <v>-21</v>
      </c>
      <c r="N255" s="10">
        <v>-25</v>
      </c>
      <c r="O255" s="10">
        <v>-34</v>
      </c>
      <c r="P255" s="10">
        <v>69</v>
      </c>
      <c r="Q255" s="10">
        <v>-29</v>
      </c>
      <c r="R255" s="10">
        <v>84</v>
      </c>
      <c r="S255" s="10">
        <v>88</v>
      </c>
      <c r="T255" s="37"/>
      <c r="U255" s="37"/>
      <c r="V255" s="37"/>
      <c r="W255" s="37"/>
      <c r="X255" s="37"/>
      <c r="Y255" s="37"/>
    </row>
    <row r="256" spans="1:25" x14ac:dyDescent="0.35">
      <c r="A256" s="10">
        <v>79</v>
      </c>
      <c r="B256" s="10">
        <v>52</v>
      </c>
      <c r="C256" s="10">
        <v>-37</v>
      </c>
      <c r="D256" s="10">
        <v>63</v>
      </c>
      <c r="E256" s="10">
        <v>-9</v>
      </c>
      <c r="F256" s="10">
        <v>-73</v>
      </c>
      <c r="G256" s="10">
        <v>37</v>
      </c>
      <c r="H256" s="37"/>
      <c r="I256" s="37"/>
      <c r="J256" s="37"/>
      <c r="K256" s="37"/>
      <c r="L256" s="51"/>
      <c r="M256" s="10">
        <v>79</v>
      </c>
      <c r="N256" s="10">
        <v>52</v>
      </c>
      <c r="O256" s="10">
        <v>-37</v>
      </c>
      <c r="P256" s="10">
        <v>63</v>
      </c>
      <c r="Q256" s="10">
        <v>-9</v>
      </c>
      <c r="R256" s="10">
        <v>-73</v>
      </c>
      <c r="S256" s="10">
        <v>37</v>
      </c>
      <c r="T256" s="37"/>
      <c r="U256" s="37"/>
      <c r="V256" s="37"/>
      <c r="W256" s="37"/>
      <c r="X256" s="37"/>
      <c r="Y256" s="37"/>
    </row>
    <row r="257" spans="1:25" x14ac:dyDescent="0.35">
      <c r="A257" s="10">
        <v>-41</v>
      </c>
      <c r="B257" s="10">
        <v>41</v>
      </c>
      <c r="C257" s="10">
        <v>72</v>
      </c>
      <c r="D257" s="10">
        <v>-64</v>
      </c>
      <c r="E257" s="10">
        <v>-96</v>
      </c>
      <c r="F257" s="10">
        <v>-71</v>
      </c>
      <c r="G257" s="10">
        <v>57</v>
      </c>
      <c r="H257" s="37"/>
      <c r="I257" s="37"/>
      <c r="J257" s="37"/>
      <c r="K257" s="37"/>
      <c r="L257" s="51"/>
      <c r="M257" s="10">
        <v>-41</v>
      </c>
      <c r="N257" s="10">
        <v>41</v>
      </c>
      <c r="O257" s="10">
        <v>72</v>
      </c>
      <c r="P257" s="10">
        <v>-64</v>
      </c>
      <c r="Q257" s="10">
        <v>-96</v>
      </c>
      <c r="R257" s="10">
        <v>-71</v>
      </c>
      <c r="S257" s="10">
        <v>57</v>
      </c>
      <c r="T257" s="37"/>
      <c r="U257" s="37"/>
      <c r="V257" s="37"/>
      <c r="W257" s="37"/>
      <c r="X257" s="37"/>
      <c r="Y257" s="37"/>
    </row>
    <row r="258" spans="1:25" x14ac:dyDescent="0.35">
      <c r="A258" s="10">
        <v>-48</v>
      </c>
      <c r="B258" s="10">
        <v>71</v>
      </c>
      <c r="C258" s="10">
        <v>75</v>
      </c>
      <c r="D258" s="10">
        <v>-32</v>
      </c>
      <c r="E258" s="10">
        <v>59</v>
      </c>
      <c r="F258" s="10">
        <v>-44</v>
      </c>
      <c r="G258" s="10">
        <v>-74</v>
      </c>
      <c r="H258" s="37"/>
      <c r="I258" s="37"/>
      <c r="J258" s="37"/>
      <c r="K258" s="37"/>
      <c r="L258" s="51"/>
      <c r="M258" s="10">
        <v>-48</v>
      </c>
      <c r="N258" s="10">
        <v>71</v>
      </c>
      <c r="O258" s="10">
        <v>75</v>
      </c>
      <c r="P258" s="10">
        <v>-32</v>
      </c>
      <c r="Q258" s="10">
        <v>59</v>
      </c>
      <c r="R258" s="10">
        <v>-44</v>
      </c>
      <c r="S258" s="10">
        <v>-74</v>
      </c>
      <c r="T258" s="37"/>
      <c r="U258" s="37"/>
      <c r="V258" s="37"/>
      <c r="W258" s="37"/>
      <c r="X258" s="37"/>
      <c r="Y258" s="37"/>
    </row>
    <row r="259" spans="1:25" x14ac:dyDescent="0.35">
      <c r="A259" s="10">
        <v>61</v>
      </c>
      <c r="B259" s="10">
        <v>-100</v>
      </c>
      <c r="C259" s="10">
        <v>59</v>
      </c>
      <c r="D259" s="10">
        <v>94</v>
      </c>
      <c r="E259" s="10">
        <v>-27</v>
      </c>
      <c r="F259" s="10">
        <v>-1</v>
      </c>
      <c r="G259" s="10">
        <v>-78</v>
      </c>
      <c r="H259" s="37"/>
      <c r="I259" s="37"/>
      <c r="J259" s="37"/>
      <c r="K259" s="37"/>
      <c r="L259" s="51"/>
      <c r="M259" s="10">
        <v>61</v>
      </c>
      <c r="N259" s="10">
        <v>-100</v>
      </c>
      <c r="O259" s="10">
        <v>59</v>
      </c>
      <c r="P259" s="10">
        <v>94</v>
      </c>
      <c r="Q259" s="10">
        <v>-27</v>
      </c>
      <c r="R259" s="10">
        <v>-1</v>
      </c>
      <c r="S259" s="10">
        <v>-78</v>
      </c>
      <c r="T259" s="37"/>
      <c r="U259" s="37"/>
      <c r="V259" s="37"/>
      <c r="W259" s="37"/>
      <c r="X259" s="37"/>
      <c r="Y259" s="37"/>
    </row>
    <row r="260" spans="1:25" x14ac:dyDescent="0.35">
      <c r="H260" s="37"/>
      <c r="I260" s="37"/>
      <c r="J260" s="37"/>
      <c r="K260" s="37"/>
      <c r="L260" s="51"/>
      <c r="T260" s="37"/>
      <c r="U260" s="37"/>
      <c r="V260" s="37"/>
      <c r="W260" s="37"/>
      <c r="X260" s="37"/>
      <c r="Y260" s="37"/>
    </row>
    <row r="261" spans="1:25" x14ac:dyDescent="0.35">
      <c r="H261" s="37"/>
      <c r="I261" s="37"/>
      <c r="J261" s="37"/>
      <c r="K261" s="37"/>
      <c r="L261" s="51"/>
      <c r="T261" s="37"/>
      <c r="U261" s="37"/>
      <c r="V261" s="37"/>
      <c r="W261" s="37"/>
      <c r="X261" s="37"/>
      <c r="Y261" s="37"/>
    </row>
    <row r="262" spans="1:25" x14ac:dyDescent="0.35">
      <c r="H262" s="37"/>
      <c r="I262" s="37"/>
      <c r="J262" s="37"/>
      <c r="K262" s="37"/>
      <c r="L262" s="51"/>
      <c r="T262" s="37"/>
      <c r="U262" s="37"/>
      <c r="V262" s="37"/>
      <c r="W262" s="37"/>
      <c r="X262" s="37"/>
      <c r="Y262" s="37"/>
    </row>
    <row r="263" spans="1:25" x14ac:dyDescent="0.35">
      <c r="H263" s="37"/>
      <c r="I263" s="37"/>
      <c r="J263" s="37"/>
      <c r="K263" s="37"/>
      <c r="L263" s="51"/>
      <c r="T263" s="37"/>
      <c r="U263" s="37"/>
      <c r="V263" s="37"/>
      <c r="W263" s="37"/>
      <c r="X263" s="37"/>
      <c r="Y263" s="37"/>
    </row>
    <row r="264" spans="1:25" x14ac:dyDescent="0.35">
      <c r="H264" s="37"/>
      <c r="I264" s="37"/>
      <c r="J264" s="37"/>
      <c r="K264" s="37"/>
      <c r="L264" s="51"/>
      <c r="T264" s="37"/>
      <c r="U264" s="37"/>
      <c r="V264" s="37"/>
      <c r="W264" s="37"/>
      <c r="X264" s="37"/>
      <c r="Y264" s="37"/>
    </row>
    <row r="265" spans="1:25" ht="15.5" x14ac:dyDescent="0.35">
      <c r="A265" s="106" t="s">
        <v>189</v>
      </c>
      <c r="B265" s="106"/>
      <c r="C265" s="106"/>
      <c r="D265" s="106"/>
      <c r="E265" s="106"/>
      <c r="F265" s="106"/>
      <c r="G265" s="106"/>
      <c r="H265" s="37"/>
      <c r="I265" s="37"/>
      <c r="J265" s="37"/>
      <c r="K265" s="37"/>
      <c r="L265" s="51"/>
      <c r="M265" s="106" t="s">
        <v>189</v>
      </c>
      <c r="N265" s="106"/>
      <c r="O265" s="106"/>
      <c r="P265" s="106"/>
      <c r="Q265" s="106"/>
      <c r="R265" s="106"/>
      <c r="S265" s="106"/>
      <c r="T265" s="37"/>
      <c r="U265" s="37"/>
      <c r="V265" s="37"/>
      <c r="W265" s="37"/>
      <c r="X265" s="37"/>
      <c r="Y265" s="37"/>
    </row>
    <row r="266" spans="1:25" ht="20.25" customHeight="1" x14ac:dyDescent="0.4">
      <c r="A266" t="s">
        <v>190</v>
      </c>
      <c r="B266" s="52">
        <v>5</v>
      </c>
      <c r="C266" s="53">
        <v>4</v>
      </c>
      <c r="D266" s="54">
        <v>3</v>
      </c>
      <c r="E266" s="55">
        <v>2</v>
      </c>
      <c r="F266" s="56">
        <v>1</v>
      </c>
      <c r="G266" s="57"/>
      <c r="H266" s="37"/>
      <c r="I266" s="37"/>
      <c r="J266" s="37"/>
      <c r="K266" s="37"/>
      <c r="L266" s="51"/>
      <c r="M266" t="s">
        <v>190</v>
      </c>
      <c r="N266" s="52">
        <v>5</v>
      </c>
      <c r="O266" s="53">
        <v>4</v>
      </c>
      <c r="P266" s="54">
        <v>3</v>
      </c>
      <c r="Q266" s="55">
        <v>2</v>
      </c>
      <c r="R266" s="56">
        <v>1</v>
      </c>
      <c r="S266" s="57"/>
      <c r="T266" s="37"/>
      <c r="U266" s="37"/>
      <c r="V266" s="37"/>
      <c r="W266" s="37"/>
      <c r="X266" s="37"/>
      <c r="Y266" s="37"/>
    </row>
    <row r="267" spans="1:25" ht="35.25" customHeight="1" x14ac:dyDescent="0.35">
      <c r="A267" s="58" t="s">
        <v>191</v>
      </c>
      <c r="B267" s="59" t="s">
        <v>192</v>
      </c>
      <c r="C267" s="59" t="s">
        <v>193</v>
      </c>
      <c r="D267" s="60" t="s">
        <v>194</v>
      </c>
      <c r="E267" s="59" t="s">
        <v>195</v>
      </c>
      <c r="F267" s="60" t="s">
        <v>196</v>
      </c>
      <c r="G267" s="61" t="s">
        <v>197</v>
      </c>
      <c r="H267" s="37"/>
      <c r="I267" s="37"/>
      <c r="J267" s="37"/>
      <c r="K267" s="37"/>
      <c r="L267" s="51"/>
      <c r="M267" s="58" t="s">
        <v>191</v>
      </c>
      <c r="N267" s="59" t="s">
        <v>192</v>
      </c>
      <c r="O267" s="59" t="s">
        <v>193</v>
      </c>
      <c r="P267" s="60" t="s">
        <v>194</v>
      </c>
      <c r="Q267" s="59" t="s">
        <v>195</v>
      </c>
      <c r="R267" s="60" t="s">
        <v>196</v>
      </c>
      <c r="S267" s="61" t="s">
        <v>197</v>
      </c>
      <c r="T267" s="37"/>
      <c r="U267" s="37"/>
      <c r="V267" s="37"/>
      <c r="W267" s="37"/>
      <c r="X267" s="37"/>
      <c r="Y267" s="37"/>
    </row>
    <row r="268" spans="1:25" x14ac:dyDescent="0.35">
      <c r="A268" s="62" t="s">
        <v>198</v>
      </c>
      <c r="B268" s="10">
        <v>5</v>
      </c>
      <c r="C268" s="10">
        <v>1</v>
      </c>
      <c r="D268" s="10">
        <v>1</v>
      </c>
      <c r="E268" s="10">
        <v>2</v>
      </c>
      <c r="F268" s="10">
        <v>3</v>
      </c>
      <c r="G268" s="63">
        <f>AVERAGE(B268:F268)</f>
        <v>2.4</v>
      </c>
      <c r="H268" s="37"/>
      <c r="I268" s="37"/>
      <c r="J268" s="37"/>
      <c r="K268" s="37"/>
      <c r="L268" s="51"/>
      <c r="M268" s="62" t="s">
        <v>198</v>
      </c>
      <c r="N268" s="10">
        <v>5</v>
      </c>
      <c r="O268" s="10">
        <v>2</v>
      </c>
      <c r="P268" s="10">
        <v>1</v>
      </c>
      <c r="Q268" s="10">
        <v>2</v>
      </c>
      <c r="R268" s="10">
        <v>3</v>
      </c>
      <c r="S268" s="63">
        <f>AVERAGE(N268:R268)</f>
        <v>2.6</v>
      </c>
      <c r="T268" s="37"/>
      <c r="U268" s="37"/>
      <c r="V268" s="37"/>
      <c r="W268" s="37"/>
      <c r="X268" s="37"/>
      <c r="Y268" s="37"/>
    </row>
    <row r="269" spans="1:25" x14ac:dyDescent="0.35">
      <c r="A269" s="62" t="s">
        <v>199</v>
      </c>
      <c r="B269" s="10">
        <v>4</v>
      </c>
      <c r="C269" s="10">
        <v>3</v>
      </c>
      <c r="D269" s="10">
        <v>3</v>
      </c>
      <c r="E269" s="10">
        <v>5</v>
      </c>
      <c r="F269" s="10">
        <v>4</v>
      </c>
      <c r="G269" s="63">
        <f t="shared" ref="G269:G273" si="4">AVERAGE(B269:F269)</f>
        <v>3.8</v>
      </c>
      <c r="H269" s="37"/>
      <c r="I269" s="37"/>
      <c r="J269" s="37"/>
      <c r="K269" s="37"/>
      <c r="L269" s="51"/>
      <c r="M269" s="62" t="s">
        <v>199</v>
      </c>
      <c r="N269" s="10">
        <v>4</v>
      </c>
      <c r="O269" s="10">
        <v>3</v>
      </c>
      <c r="P269" s="10">
        <v>3</v>
      </c>
      <c r="Q269" s="10">
        <v>5</v>
      </c>
      <c r="R269" s="10">
        <v>4</v>
      </c>
      <c r="S269" s="63">
        <f t="shared" ref="S269:S273" si="5">AVERAGE(N269:R269)</f>
        <v>3.8</v>
      </c>
      <c r="T269" s="37"/>
      <c r="U269" s="37"/>
      <c r="V269" s="37"/>
      <c r="W269" s="37"/>
      <c r="X269" s="37"/>
      <c r="Y269" s="37"/>
    </row>
    <row r="270" spans="1:25" x14ac:dyDescent="0.35">
      <c r="A270" s="62" t="s">
        <v>200</v>
      </c>
      <c r="B270" s="10">
        <v>3</v>
      </c>
      <c r="C270" s="10">
        <v>3</v>
      </c>
      <c r="D270" s="10">
        <v>3</v>
      </c>
      <c r="E270" s="10">
        <v>3</v>
      </c>
      <c r="F270" s="10">
        <v>2</v>
      </c>
      <c r="G270" s="63">
        <f t="shared" si="4"/>
        <v>2.8</v>
      </c>
      <c r="H270" s="37"/>
      <c r="I270" s="37"/>
      <c r="J270" s="37"/>
      <c r="K270" s="37"/>
      <c r="L270" s="51"/>
      <c r="M270" s="62" t="s">
        <v>200</v>
      </c>
      <c r="N270" s="10">
        <v>3</v>
      </c>
      <c r="O270" s="10">
        <v>3</v>
      </c>
      <c r="P270" s="10">
        <v>3</v>
      </c>
      <c r="Q270" s="10">
        <v>3</v>
      </c>
      <c r="R270" s="10">
        <v>2</v>
      </c>
      <c r="S270" s="63">
        <f t="shared" si="5"/>
        <v>2.8</v>
      </c>
      <c r="T270" s="37"/>
      <c r="U270" s="37"/>
      <c r="V270" s="37"/>
      <c r="W270" s="37"/>
      <c r="X270" s="37"/>
      <c r="Y270" s="37"/>
    </row>
    <row r="271" spans="1:25" x14ac:dyDescent="0.35">
      <c r="A271" s="62" t="s">
        <v>201</v>
      </c>
      <c r="B271" s="10">
        <v>3</v>
      </c>
      <c r="C271" s="10">
        <v>1</v>
      </c>
      <c r="D271" s="10">
        <v>1</v>
      </c>
      <c r="E271" s="10">
        <v>2</v>
      </c>
      <c r="F271" s="10">
        <v>1</v>
      </c>
      <c r="G271" s="63">
        <f t="shared" si="4"/>
        <v>1.6</v>
      </c>
      <c r="H271" s="37"/>
      <c r="I271" s="37"/>
      <c r="J271" s="37"/>
      <c r="K271" s="37"/>
      <c r="L271" s="51"/>
      <c r="M271" s="62" t="s">
        <v>201</v>
      </c>
      <c r="N271" s="10">
        <v>3</v>
      </c>
      <c r="O271" s="10">
        <v>1</v>
      </c>
      <c r="P271" s="10">
        <v>1</v>
      </c>
      <c r="Q271" s="10">
        <v>2</v>
      </c>
      <c r="R271" s="10">
        <v>1</v>
      </c>
      <c r="S271" s="63">
        <f t="shared" si="5"/>
        <v>1.6</v>
      </c>
      <c r="T271" s="37"/>
      <c r="U271" s="37"/>
      <c r="V271" s="37"/>
      <c r="W271" s="37"/>
      <c r="X271" s="37"/>
      <c r="Y271" s="37"/>
    </row>
    <row r="272" spans="1:25" x14ac:dyDescent="0.35">
      <c r="A272" s="62" t="s">
        <v>202</v>
      </c>
      <c r="B272" s="10">
        <v>2</v>
      </c>
      <c r="C272" s="10">
        <v>3</v>
      </c>
      <c r="D272" s="10">
        <v>3</v>
      </c>
      <c r="E272" s="10">
        <v>4</v>
      </c>
      <c r="F272" s="10">
        <v>2</v>
      </c>
      <c r="G272" s="63">
        <f t="shared" si="4"/>
        <v>2.8</v>
      </c>
      <c r="M272" s="62" t="s">
        <v>202</v>
      </c>
      <c r="N272" s="10">
        <v>2</v>
      </c>
      <c r="O272" s="10">
        <v>3</v>
      </c>
      <c r="P272" s="10">
        <v>3</v>
      </c>
      <c r="Q272" s="10">
        <v>4</v>
      </c>
      <c r="R272" s="10">
        <v>2</v>
      </c>
      <c r="S272" s="63">
        <f t="shared" si="5"/>
        <v>2.8</v>
      </c>
    </row>
    <row r="273" spans="1:19" x14ac:dyDescent="0.35">
      <c r="A273" s="64" t="s">
        <v>203</v>
      </c>
      <c r="B273" s="65">
        <v>3</v>
      </c>
      <c r="C273" s="65">
        <v>2</v>
      </c>
      <c r="D273" s="65">
        <v>2</v>
      </c>
      <c r="E273" s="65">
        <v>1</v>
      </c>
      <c r="F273" s="65">
        <v>5</v>
      </c>
      <c r="G273" s="66">
        <f t="shared" si="4"/>
        <v>2.6</v>
      </c>
      <c r="M273" s="64" t="s">
        <v>203</v>
      </c>
      <c r="N273" s="65">
        <v>3</v>
      </c>
      <c r="O273" s="65">
        <v>2</v>
      </c>
      <c r="P273" s="65">
        <v>2</v>
      </c>
      <c r="Q273" s="65">
        <v>1</v>
      </c>
      <c r="R273" s="65">
        <v>5</v>
      </c>
      <c r="S273" s="66">
        <f t="shared" si="5"/>
        <v>2.6</v>
      </c>
    </row>
    <row r="278" spans="1:19" ht="16.5" customHeight="1" x14ac:dyDescent="0.35">
      <c r="A278" s="106" t="s">
        <v>204</v>
      </c>
      <c r="B278" s="106"/>
      <c r="C278" s="106"/>
      <c r="M278" s="106" t="s">
        <v>204</v>
      </c>
      <c r="N278" s="106"/>
      <c r="O278" s="106"/>
    </row>
    <row r="279" spans="1:19" ht="15" thickBot="1" x14ac:dyDescent="0.4">
      <c r="A279" s="67" t="s">
        <v>3</v>
      </c>
      <c r="B279" s="67" t="s">
        <v>205</v>
      </c>
      <c r="C279" s="67" t="s">
        <v>39</v>
      </c>
      <c r="M279" s="67" t="s">
        <v>3</v>
      </c>
      <c r="N279" s="67" t="s">
        <v>205</v>
      </c>
      <c r="O279" s="67" t="s">
        <v>39</v>
      </c>
    </row>
    <row r="280" spans="1:19" x14ac:dyDescent="0.35">
      <c r="A280" s="68" t="s">
        <v>8</v>
      </c>
      <c r="B280" s="69">
        <v>45745</v>
      </c>
      <c r="C280" s="70">
        <v>45778</v>
      </c>
      <c r="M280" s="71" t="s">
        <v>8</v>
      </c>
      <c r="N280" s="72">
        <v>45745</v>
      </c>
      <c r="O280" s="73">
        <v>45778</v>
      </c>
    </row>
    <row r="281" spans="1:19" x14ac:dyDescent="0.35">
      <c r="A281" s="74" t="s">
        <v>10</v>
      </c>
      <c r="B281" s="42">
        <v>45746</v>
      </c>
      <c r="C281" s="75">
        <v>45782</v>
      </c>
      <c r="M281" s="76" t="s">
        <v>10</v>
      </c>
      <c r="N281" s="77">
        <v>45746</v>
      </c>
      <c r="O281" s="78">
        <v>45782</v>
      </c>
    </row>
    <row r="282" spans="1:19" x14ac:dyDescent="0.35">
      <c r="A282" s="74" t="s">
        <v>12</v>
      </c>
      <c r="B282" s="42">
        <v>45747</v>
      </c>
      <c r="C282" s="75">
        <v>45779</v>
      </c>
      <c r="M282" s="76" t="s">
        <v>12</v>
      </c>
      <c r="N282" s="77">
        <v>45747</v>
      </c>
      <c r="O282" s="78">
        <v>45779</v>
      </c>
    </row>
    <row r="283" spans="1:19" x14ac:dyDescent="0.35">
      <c r="A283" s="74" t="s">
        <v>13</v>
      </c>
      <c r="B283" s="42">
        <v>45748</v>
      </c>
      <c r="C283" s="75">
        <v>45778</v>
      </c>
      <c r="M283" s="76" t="s">
        <v>13</v>
      </c>
      <c r="N283" s="77">
        <v>45748</v>
      </c>
      <c r="O283" s="78">
        <v>45778</v>
      </c>
    </row>
    <row r="284" spans="1:19" x14ac:dyDescent="0.35">
      <c r="A284" s="74" t="s">
        <v>14</v>
      </c>
      <c r="B284" s="42">
        <v>45749</v>
      </c>
      <c r="C284" s="75">
        <v>45782</v>
      </c>
      <c r="M284" s="76" t="s">
        <v>14</v>
      </c>
      <c r="N284" s="77">
        <v>45749</v>
      </c>
      <c r="O284" s="78">
        <v>45782</v>
      </c>
    </row>
    <row r="285" spans="1:19" x14ac:dyDescent="0.35">
      <c r="A285" s="74" t="s">
        <v>15</v>
      </c>
      <c r="B285" s="42">
        <v>45750</v>
      </c>
      <c r="C285" s="75">
        <v>42134</v>
      </c>
      <c r="M285" s="76" t="s">
        <v>15</v>
      </c>
      <c r="N285" s="77">
        <v>45750</v>
      </c>
      <c r="O285" s="78">
        <v>42134</v>
      </c>
    </row>
    <row r="286" spans="1:19" x14ac:dyDescent="0.35">
      <c r="A286" s="74" t="s">
        <v>16</v>
      </c>
      <c r="B286" s="42">
        <v>45751</v>
      </c>
      <c r="C286" s="75">
        <v>45783</v>
      </c>
      <c r="M286" s="76" t="s">
        <v>16</v>
      </c>
      <c r="N286" s="77">
        <v>45751</v>
      </c>
      <c r="O286" s="78">
        <v>45783</v>
      </c>
    </row>
    <row r="287" spans="1:19" ht="15" thickBot="1" x14ac:dyDescent="0.4">
      <c r="A287" s="79" t="s">
        <v>17</v>
      </c>
      <c r="B287" s="80">
        <v>45752</v>
      </c>
      <c r="C287" s="81">
        <v>45782</v>
      </c>
      <c r="M287" s="82" t="s">
        <v>17</v>
      </c>
      <c r="N287" s="83">
        <v>45752</v>
      </c>
      <c r="O287" s="84">
        <v>45782</v>
      </c>
    </row>
    <row r="291" spans="1:17" ht="16.5" customHeight="1" thickBot="1" x14ac:dyDescent="0.4">
      <c r="A291" s="106" t="s">
        <v>206</v>
      </c>
      <c r="B291" s="106"/>
      <c r="C291" s="106"/>
      <c r="M291" s="106" t="s">
        <v>206</v>
      </c>
      <c r="N291" s="106"/>
      <c r="O291" s="106"/>
    </row>
    <row r="292" spans="1:17" ht="15" thickBot="1" x14ac:dyDescent="0.4">
      <c r="A292" s="85" t="s">
        <v>207</v>
      </c>
      <c r="B292" s="85" t="s">
        <v>208</v>
      </c>
      <c r="C292" s="85" t="s">
        <v>209</v>
      </c>
      <c r="E292" s="85" t="s">
        <v>210</v>
      </c>
      <c r="M292" s="85" t="s">
        <v>207</v>
      </c>
      <c r="N292" s="85" t="s">
        <v>208</v>
      </c>
      <c r="O292" s="85" t="s">
        <v>209</v>
      </c>
      <c r="Q292" s="85" t="s">
        <v>210</v>
      </c>
    </row>
    <row r="293" spans="1:17" ht="15" thickBot="1" x14ac:dyDescent="0.4">
      <c r="A293" s="86">
        <v>46054</v>
      </c>
      <c r="B293" s="86">
        <v>46233</v>
      </c>
      <c r="C293" s="86">
        <v>46052</v>
      </c>
      <c r="E293" s="87">
        <v>46055</v>
      </c>
      <c r="M293" s="86">
        <v>46054</v>
      </c>
      <c r="N293" s="86">
        <v>46233</v>
      </c>
      <c r="O293" s="86">
        <v>46052</v>
      </c>
      <c r="Q293" s="87">
        <v>46055</v>
      </c>
    </row>
    <row r="294" spans="1:17" ht="15" thickBot="1" x14ac:dyDescent="0.4">
      <c r="A294" s="86">
        <v>46055</v>
      </c>
      <c r="B294" s="86">
        <v>46234</v>
      </c>
      <c r="C294" s="86">
        <v>46053</v>
      </c>
      <c r="E294" s="87">
        <v>46043</v>
      </c>
      <c r="M294" s="86">
        <v>46055</v>
      </c>
      <c r="N294" s="86">
        <v>46234</v>
      </c>
      <c r="O294" s="86">
        <v>46053</v>
      </c>
      <c r="Q294" s="87">
        <v>46043</v>
      </c>
    </row>
    <row r="295" spans="1:17" ht="15" thickBot="1" x14ac:dyDescent="0.4">
      <c r="A295" s="86">
        <v>46056</v>
      </c>
      <c r="B295" s="86">
        <v>46235</v>
      </c>
      <c r="C295" s="86">
        <v>46054</v>
      </c>
      <c r="E295" s="87">
        <v>46044</v>
      </c>
      <c r="M295" s="86">
        <v>46056</v>
      </c>
      <c r="N295" s="86">
        <v>46235</v>
      </c>
      <c r="O295" s="86">
        <v>46054</v>
      </c>
      <c r="Q295" s="87">
        <v>46044</v>
      </c>
    </row>
    <row r="296" spans="1:17" ht="15" thickBot="1" x14ac:dyDescent="0.4">
      <c r="A296" s="86">
        <v>46057</v>
      </c>
      <c r="B296" s="86">
        <v>46023</v>
      </c>
      <c r="C296" s="86">
        <v>46055</v>
      </c>
      <c r="E296" s="87">
        <v>46045</v>
      </c>
      <c r="M296" s="86">
        <v>46057</v>
      </c>
      <c r="N296" s="86">
        <v>46023</v>
      </c>
      <c r="O296" s="86">
        <v>46055</v>
      </c>
      <c r="Q296" s="87">
        <v>46045</v>
      </c>
    </row>
    <row r="297" spans="1:17" ht="15" thickBot="1" x14ac:dyDescent="0.4">
      <c r="A297" s="86">
        <v>46058</v>
      </c>
      <c r="B297" s="86">
        <v>46024</v>
      </c>
      <c r="C297" s="86">
        <v>46056</v>
      </c>
      <c r="E297" s="87">
        <v>46046</v>
      </c>
      <c r="M297" s="86">
        <v>46058</v>
      </c>
      <c r="N297" s="86">
        <v>46024</v>
      </c>
      <c r="O297" s="86">
        <v>46056</v>
      </c>
      <c r="Q297" s="87">
        <v>46046</v>
      </c>
    </row>
    <row r="298" spans="1:17" ht="15" thickBot="1" x14ac:dyDescent="0.4">
      <c r="A298" s="86">
        <v>46059</v>
      </c>
      <c r="B298" s="86">
        <v>46243</v>
      </c>
      <c r="C298" s="86">
        <v>46057</v>
      </c>
      <c r="E298" s="87">
        <v>46047</v>
      </c>
      <c r="M298" s="86">
        <v>46059</v>
      </c>
      <c r="N298" s="86">
        <v>46238</v>
      </c>
      <c r="O298" s="86">
        <v>46057</v>
      </c>
      <c r="Q298" s="87">
        <v>46047</v>
      </c>
    </row>
    <row r="299" spans="1:17" ht="15" thickBot="1" x14ac:dyDescent="0.4">
      <c r="A299" s="86">
        <v>46060</v>
      </c>
      <c r="B299" s="86">
        <v>46239</v>
      </c>
      <c r="C299" s="86">
        <v>46058</v>
      </c>
      <c r="E299" s="87">
        <v>46048</v>
      </c>
      <c r="M299" s="86">
        <v>46060</v>
      </c>
      <c r="N299" s="86">
        <v>46239</v>
      </c>
      <c r="O299" s="86">
        <v>46058</v>
      </c>
      <c r="Q299" s="87">
        <v>46048</v>
      </c>
    </row>
    <row r="300" spans="1:17" ht="15" thickBot="1" x14ac:dyDescent="0.4">
      <c r="A300" s="86">
        <v>46061</v>
      </c>
      <c r="B300" s="86">
        <v>46240</v>
      </c>
      <c r="C300" s="86">
        <v>46059</v>
      </c>
      <c r="E300" s="87">
        <v>46049</v>
      </c>
      <c r="M300" s="86">
        <v>46061</v>
      </c>
      <c r="N300" s="86">
        <v>46240</v>
      </c>
      <c r="O300" s="86">
        <v>46059</v>
      </c>
      <c r="Q300" s="87">
        <v>46049</v>
      </c>
    </row>
    <row r="301" spans="1:17" ht="15" thickBot="1" x14ac:dyDescent="0.4">
      <c r="A301" s="86">
        <v>46270</v>
      </c>
      <c r="B301" s="86">
        <v>46241</v>
      </c>
      <c r="C301" s="86">
        <v>46060</v>
      </c>
      <c r="E301" s="87">
        <v>46050</v>
      </c>
      <c r="M301" s="86">
        <v>46062</v>
      </c>
      <c r="N301" s="86">
        <v>46241</v>
      </c>
      <c r="O301" s="86">
        <v>46060</v>
      </c>
      <c r="Q301" s="87">
        <v>46050</v>
      </c>
    </row>
    <row r="302" spans="1:17" ht="15" thickBot="1" x14ac:dyDescent="0.4">
      <c r="A302" s="86">
        <v>46063</v>
      </c>
      <c r="B302" s="86">
        <v>46242</v>
      </c>
      <c r="C302" s="86">
        <v>46061</v>
      </c>
      <c r="E302" s="87">
        <v>46051</v>
      </c>
      <c r="M302" s="86">
        <v>46063</v>
      </c>
      <c r="N302" s="86">
        <v>46242</v>
      </c>
      <c r="O302" s="86">
        <v>46061</v>
      </c>
      <c r="Q302" s="87">
        <v>46051</v>
      </c>
    </row>
    <row r="303" spans="1:17" ht="15" thickBot="1" x14ac:dyDescent="0.4">
      <c r="A303" s="86">
        <v>46064</v>
      </c>
      <c r="B303" s="86">
        <v>46243</v>
      </c>
      <c r="C303" s="86">
        <v>46062</v>
      </c>
      <c r="E303" s="87">
        <v>46052</v>
      </c>
      <c r="M303" s="86">
        <v>46064</v>
      </c>
      <c r="N303" s="86">
        <v>46243</v>
      </c>
      <c r="O303" s="86">
        <v>46062</v>
      </c>
      <c r="Q303" s="87">
        <v>46052</v>
      </c>
    </row>
    <row r="304" spans="1:17" ht="15" thickBot="1" x14ac:dyDescent="0.4">
      <c r="A304" s="86">
        <v>46065</v>
      </c>
      <c r="B304" s="86">
        <v>46609</v>
      </c>
      <c r="C304" s="86">
        <v>46063</v>
      </c>
      <c r="E304" s="87">
        <v>46053</v>
      </c>
      <c r="M304" s="86">
        <v>46065</v>
      </c>
      <c r="N304" s="86">
        <v>46244</v>
      </c>
      <c r="O304" s="86">
        <v>46063</v>
      </c>
      <c r="Q304" s="87">
        <v>46053</v>
      </c>
    </row>
    <row r="305" spans="1:18" ht="15" thickBot="1" x14ac:dyDescent="0.4">
      <c r="A305" s="86">
        <v>46066</v>
      </c>
      <c r="B305" s="86">
        <v>46245</v>
      </c>
      <c r="C305" s="86">
        <v>46064</v>
      </c>
      <c r="E305" s="87">
        <v>46054</v>
      </c>
      <c r="M305" s="86">
        <v>46066</v>
      </c>
      <c r="N305" s="86">
        <v>46245</v>
      </c>
      <c r="O305" s="86">
        <v>46064</v>
      </c>
      <c r="Q305" s="87">
        <v>46054</v>
      </c>
    </row>
    <row r="306" spans="1:18" ht="15" thickBot="1" x14ac:dyDescent="0.4">
      <c r="A306" s="86">
        <v>46067</v>
      </c>
      <c r="B306" s="86">
        <v>46242</v>
      </c>
      <c r="C306" s="86">
        <v>46065</v>
      </c>
      <c r="E306" s="87">
        <v>46057</v>
      </c>
      <c r="M306" s="86">
        <v>46067</v>
      </c>
      <c r="N306" s="86">
        <v>46246</v>
      </c>
      <c r="O306" s="86">
        <v>46065</v>
      </c>
      <c r="Q306" s="87">
        <v>46057</v>
      </c>
    </row>
    <row r="307" spans="1:18" ht="15" thickBot="1" x14ac:dyDescent="0.4">
      <c r="A307" s="86">
        <v>46068</v>
      </c>
      <c r="B307" s="86">
        <v>46247</v>
      </c>
      <c r="C307" s="86">
        <v>46066</v>
      </c>
      <c r="E307" s="87">
        <v>46058</v>
      </c>
      <c r="M307" s="86">
        <v>46068</v>
      </c>
      <c r="N307" s="86">
        <v>46247</v>
      </c>
      <c r="O307" s="86">
        <v>46066</v>
      </c>
      <c r="Q307" s="87">
        <v>46058</v>
      </c>
    </row>
    <row r="308" spans="1:18" ht="15" thickBot="1" x14ac:dyDescent="0.4">
      <c r="A308" s="86">
        <v>46069</v>
      </c>
      <c r="B308" s="86">
        <v>46248</v>
      </c>
      <c r="C308" s="86">
        <v>46067</v>
      </c>
      <c r="E308" s="87">
        <v>46059</v>
      </c>
      <c r="M308" s="86">
        <v>46069</v>
      </c>
      <c r="N308" s="86">
        <v>46248</v>
      </c>
      <c r="O308" s="86">
        <v>46067</v>
      </c>
      <c r="Q308" s="87">
        <v>46059</v>
      </c>
    </row>
    <row r="309" spans="1:18" x14ac:dyDescent="0.35">
      <c r="A309" s="86">
        <v>46070</v>
      </c>
      <c r="B309" s="86">
        <v>46249</v>
      </c>
      <c r="C309" s="86">
        <v>46068</v>
      </c>
      <c r="E309" s="87">
        <v>46060</v>
      </c>
      <c r="M309" s="86">
        <v>46070</v>
      </c>
      <c r="N309" s="86">
        <v>46249</v>
      </c>
      <c r="O309" s="86">
        <v>46068</v>
      </c>
      <c r="Q309" s="87">
        <v>46060</v>
      </c>
    </row>
    <row r="313" spans="1:18" ht="41.25" customHeight="1" x14ac:dyDescent="0.35">
      <c r="A313" s="109" t="s">
        <v>211</v>
      </c>
      <c r="B313" s="110"/>
      <c r="C313" s="110"/>
      <c r="D313" s="110"/>
      <c r="E313" s="110"/>
      <c r="F313" s="111"/>
      <c r="M313" s="109" t="s">
        <v>211</v>
      </c>
      <c r="N313" s="110"/>
      <c r="O313" s="110"/>
      <c r="P313" s="110"/>
      <c r="Q313" s="110"/>
      <c r="R313" s="111"/>
    </row>
    <row r="314" spans="1:18" ht="15.5" x14ac:dyDescent="0.35">
      <c r="A314" s="88" t="s">
        <v>212</v>
      </c>
      <c r="B314" s="88" t="s">
        <v>3</v>
      </c>
      <c r="C314" s="89" t="s">
        <v>4</v>
      </c>
      <c r="D314" s="90" t="s">
        <v>213</v>
      </c>
      <c r="E314" s="90" t="s">
        <v>6</v>
      </c>
      <c r="F314" s="90" t="s">
        <v>7</v>
      </c>
      <c r="M314" s="88" t="s">
        <v>212</v>
      </c>
      <c r="N314" s="88" t="s">
        <v>3</v>
      </c>
      <c r="O314" s="89" t="s">
        <v>4</v>
      </c>
      <c r="P314" s="90" t="s">
        <v>213</v>
      </c>
      <c r="Q314" s="90" t="s">
        <v>6</v>
      </c>
      <c r="R314" s="90" t="s">
        <v>7</v>
      </c>
    </row>
    <row r="315" spans="1:18" x14ac:dyDescent="0.35">
      <c r="A315" s="91"/>
      <c r="B315" s="92" t="s">
        <v>8</v>
      </c>
      <c r="C315" s="92">
        <v>5</v>
      </c>
      <c r="D315" s="91">
        <v>0</v>
      </c>
      <c r="E315" s="91" t="s">
        <v>9</v>
      </c>
      <c r="F315" s="91">
        <v>12000</v>
      </c>
      <c r="M315" s="91">
        <f>COUNTBLANK(N315:R315)</f>
        <v>0</v>
      </c>
      <c r="N315" s="92" t="s">
        <v>8</v>
      </c>
      <c r="O315" s="92">
        <v>5</v>
      </c>
      <c r="P315" s="91">
        <v>0</v>
      </c>
      <c r="Q315" s="91" t="s">
        <v>9</v>
      </c>
      <c r="R315" s="91">
        <v>12000</v>
      </c>
    </row>
    <row r="316" spans="1:18" x14ac:dyDescent="0.35">
      <c r="A316" s="91"/>
      <c r="B316" s="92" t="s">
        <v>10</v>
      </c>
      <c r="C316" s="92">
        <v>6</v>
      </c>
      <c r="D316" s="91">
        <v>2</v>
      </c>
      <c r="E316" s="91" t="s">
        <v>11</v>
      </c>
      <c r="F316" s="91">
        <v>4000</v>
      </c>
      <c r="M316" s="91">
        <f t="shared" ref="M316:M322" si="6">COUNTBLANK(N316:R316)</f>
        <v>0</v>
      </c>
      <c r="N316" s="92" t="s">
        <v>10</v>
      </c>
      <c r="O316" s="92">
        <v>6</v>
      </c>
      <c r="P316" s="91">
        <v>2</v>
      </c>
      <c r="Q316" s="91" t="s">
        <v>11</v>
      </c>
      <c r="R316" s="91">
        <v>4000</v>
      </c>
    </row>
    <row r="317" spans="1:18" x14ac:dyDescent="0.35">
      <c r="A317" s="91"/>
      <c r="B317" s="92" t="s">
        <v>12</v>
      </c>
      <c r="C317" s="92">
        <v>17</v>
      </c>
      <c r="D317" s="91">
        <v>0</v>
      </c>
      <c r="E317" s="91" t="s">
        <v>9</v>
      </c>
      <c r="F317" s="91">
        <v>3000</v>
      </c>
      <c r="M317" s="91">
        <f t="shared" si="6"/>
        <v>0</v>
      </c>
      <c r="N317" s="92" t="s">
        <v>12</v>
      </c>
      <c r="O317" s="92">
        <v>17</v>
      </c>
      <c r="P317" s="91">
        <v>0</v>
      </c>
      <c r="Q317" s="91" t="s">
        <v>9</v>
      </c>
      <c r="R317" s="91">
        <v>3000</v>
      </c>
    </row>
    <row r="318" spans="1:18" x14ac:dyDescent="0.35">
      <c r="A318" s="91"/>
      <c r="B318" s="92"/>
      <c r="C318" s="92"/>
      <c r="D318" s="91"/>
      <c r="E318" s="91"/>
      <c r="F318" s="91"/>
      <c r="M318" s="91">
        <f t="shared" si="6"/>
        <v>5</v>
      </c>
      <c r="N318" s="92"/>
      <c r="O318" s="92"/>
      <c r="P318" s="91"/>
      <c r="Q318" s="91"/>
      <c r="R318" s="91"/>
    </row>
    <row r="319" spans="1:18" x14ac:dyDescent="0.35">
      <c r="A319" s="91"/>
      <c r="B319" s="92" t="s">
        <v>14</v>
      </c>
      <c r="C319" s="92">
        <v>16</v>
      </c>
      <c r="D319" s="91">
        <v>0</v>
      </c>
      <c r="E319" s="91" t="s">
        <v>11</v>
      </c>
      <c r="F319" s="91">
        <v>7000</v>
      </c>
      <c r="M319" s="91">
        <f t="shared" si="6"/>
        <v>0</v>
      </c>
      <c r="N319" s="92" t="s">
        <v>14</v>
      </c>
      <c r="O319" s="92">
        <v>16</v>
      </c>
      <c r="P319" s="91">
        <v>0</v>
      </c>
      <c r="Q319" s="91" t="s">
        <v>11</v>
      </c>
      <c r="R319" s="91">
        <v>7000</v>
      </c>
    </row>
    <row r="320" spans="1:18" x14ac:dyDescent="0.35">
      <c r="A320" s="91"/>
      <c r="B320" s="92" t="s">
        <v>15</v>
      </c>
      <c r="C320" s="92"/>
      <c r="D320" s="91">
        <v>0</v>
      </c>
      <c r="E320" s="91" t="s">
        <v>11</v>
      </c>
      <c r="F320" s="91">
        <v>8000</v>
      </c>
      <c r="M320" s="91">
        <f t="shared" si="6"/>
        <v>1</v>
      </c>
      <c r="N320" s="92" t="s">
        <v>15</v>
      </c>
      <c r="O320" s="92"/>
      <c r="P320" s="91">
        <v>0</v>
      </c>
      <c r="Q320" s="91" t="s">
        <v>11</v>
      </c>
      <c r="R320" s="91">
        <v>8000</v>
      </c>
    </row>
    <row r="321" spans="1:18" x14ac:dyDescent="0.35">
      <c r="A321" s="91"/>
      <c r="B321" s="92"/>
      <c r="C321" s="92"/>
      <c r="D321" s="91"/>
      <c r="E321" s="91"/>
      <c r="F321" s="91"/>
      <c r="M321" s="91">
        <f t="shared" si="6"/>
        <v>5</v>
      </c>
      <c r="N321" s="92"/>
      <c r="O321" s="92"/>
      <c r="P321" s="91"/>
      <c r="Q321" s="91"/>
      <c r="R321" s="91"/>
    </row>
    <row r="322" spans="1:18" x14ac:dyDescent="0.35">
      <c r="A322" s="91"/>
      <c r="B322" s="92" t="s">
        <v>17</v>
      </c>
      <c r="C322" s="92">
        <v>15</v>
      </c>
      <c r="D322" s="91">
        <v>1</v>
      </c>
      <c r="E322" s="91" t="s">
        <v>9</v>
      </c>
      <c r="F322" s="91">
        <v>10000</v>
      </c>
      <c r="M322" s="91">
        <f t="shared" si="6"/>
        <v>0</v>
      </c>
      <c r="N322" s="92" t="s">
        <v>17</v>
      </c>
      <c r="O322" s="92">
        <v>15</v>
      </c>
      <c r="P322" s="91">
        <v>1</v>
      </c>
      <c r="Q322" s="91" t="s">
        <v>9</v>
      </c>
      <c r="R322" s="91">
        <v>10000</v>
      </c>
    </row>
    <row r="323" spans="1:18" x14ac:dyDescent="0.35">
      <c r="A323" s="93"/>
      <c r="B323" s="94"/>
      <c r="C323" s="94"/>
      <c r="D323" s="93"/>
      <c r="E323" s="93"/>
      <c r="F323" s="93"/>
      <c r="M323" s="93"/>
      <c r="N323" s="94"/>
      <c r="O323" s="94"/>
      <c r="P323" s="93"/>
      <c r="Q323" s="93"/>
      <c r="R323" s="93"/>
    </row>
    <row r="327" spans="1:18" ht="15.75" customHeight="1" x14ac:dyDescent="0.35">
      <c r="A327" s="113" t="s">
        <v>214</v>
      </c>
      <c r="B327" s="114"/>
      <c r="M327" s="113" t="s">
        <v>214</v>
      </c>
      <c r="N327" s="114"/>
    </row>
    <row r="328" spans="1:18" x14ac:dyDescent="0.35">
      <c r="A328" s="46" t="s">
        <v>31</v>
      </c>
      <c r="B328" s="46" t="s">
        <v>31</v>
      </c>
      <c r="M328" s="46" t="s">
        <v>31</v>
      </c>
      <c r="N328" s="46" t="s">
        <v>31</v>
      </c>
    </row>
    <row r="329" spans="1:18" x14ac:dyDescent="0.35">
      <c r="A329" s="46" t="s">
        <v>215</v>
      </c>
      <c r="B329" s="46" t="s">
        <v>215</v>
      </c>
      <c r="M329" s="46" t="s">
        <v>215</v>
      </c>
      <c r="N329" s="46" t="s">
        <v>215</v>
      </c>
    </row>
    <row r="330" spans="1:18" x14ac:dyDescent="0.35">
      <c r="A330" s="46" t="s">
        <v>216</v>
      </c>
      <c r="B330" s="46" t="s">
        <v>217</v>
      </c>
      <c r="M330" s="46" t="s">
        <v>216</v>
      </c>
      <c r="N330" s="46" t="s">
        <v>217</v>
      </c>
    </row>
    <row r="331" spans="1:18" x14ac:dyDescent="0.35">
      <c r="A331" s="46" t="s">
        <v>218</v>
      </c>
      <c r="B331" s="46" t="s">
        <v>218</v>
      </c>
      <c r="M331" s="46" t="s">
        <v>218</v>
      </c>
      <c r="N331" s="46" t="s">
        <v>218</v>
      </c>
    </row>
    <row r="332" spans="1:18" x14ac:dyDescent="0.35">
      <c r="A332" s="46" t="s">
        <v>219</v>
      </c>
      <c r="B332" s="46" t="s">
        <v>219</v>
      </c>
      <c r="M332" s="46" t="s">
        <v>219</v>
      </c>
      <c r="N332" s="46" t="s">
        <v>219</v>
      </c>
    </row>
    <row r="333" spans="1:18" x14ac:dyDescent="0.35">
      <c r="A333" s="46" t="s">
        <v>220</v>
      </c>
      <c r="B333" s="46" t="s">
        <v>220</v>
      </c>
      <c r="M333" s="46" t="s">
        <v>220</v>
      </c>
      <c r="N333" s="46" t="s">
        <v>220</v>
      </c>
    </row>
    <row r="334" spans="1:18" x14ac:dyDescent="0.35">
      <c r="A334" s="46" t="s">
        <v>221</v>
      </c>
      <c r="B334" s="46" t="s">
        <v>222</v>
      </c>
      <c r="M334" s="46" t="s">
        <v>221</v>
      </c>
      <c r="N334" s="46" t="s">
        <v>222</v>
      </c>
    </row>
    <row r="335" spans="1:18" x14ac:dyDescent="0.35">
      <c r="A335" s="46" t="s">
        <v>223</v>
      </c>
      <c r="B335" s="46" t="s">
        <v>223</v>
      </c>
      <c r="M335" s="46" t="s">
        <v>223</v>
      </c>
      <c r="N335" s="46" t="s">
        <v>223</v>
      </c>
    </row>
    <row r="336" spans="1:18" x14ac:dyDescent="0.35">
      <c r="A336" s="46" t="s">
        <v>224</v>
      </c>
      <c r="B336" s="46" t="s">
        <v>225</v>
      </c>
      <c r="M336" s="46" t="s">
        <v>224</v>
      </c>
      <c r="N336" s="46" t="s">
        <v>225</v>
      </c>
    </row>
    <row r="337" spans="1:15" x14ac:dyDescent="0.35">
      <c r="A337" s="46" t="s">
        <v>226</v>
      </c>
      <c r="B337" s="46" t="s">
        <v>226</v>
      </c>
      <c r="M337" s="46" t="s">
        <v>226</v>
      </c>
      <c r="N337" s="46" t="s">
        <v>226</v>
      </c>
    </row>
    <row r="342" spans="1:15" ht="15.5" x14ac:dyDescent="0.35">
      <c r="A342" s="112" t="s">
        <v>227</v>
      </c>
      <c r="B342" s="112"/>
      <c r="C342" s="112"/>
      <c r="M342" s="112" t="s">
        <v>227</v>
      </c>
      <c r="N342" s="112"/>
      <c r="O342" s="112"/>
    </row>
    <row r="343" spans="1:15" x14ac:dyDescent="0.35">
      <c r="A343" s="10">
        <v>10</v>
      </c>
      <c r="B343" s="10">
        <v>20</v>
      </c>
      <c r="C343" s="10">
        <v>10</v>
      </c>
      <c r="M343" s="10" t="s">
        <v>228</v>
      </c>
      <c r="N343" s="10">
        <v>20</v>
      </c>
      <c r="O343" s="10">
        <v>10</v>
      </c>
    </row>
    <row r="344" spans="1:15" x14ac:dyDescent="0.35">
      <c r="A344" s="10">
        <v>20</v>
      </c>
      <c r="B344" s="10">
        <v>40</v>
      </c>
      <c r="C344" s="10">
        <v>20</v>
      </c>
      <c r="M344" s="10">
        <v>20</v>
      </c>
      <c r="N344" s="10">
        <v>40</v>
      </c>
      <c r="O344" s="10">
        <v>20</v>
      </c>
    </row>
    <row r="345" spans="1:15" x14ac:dyDescent="0.35">
      <c r="A345" s="10">
        <v>50</v>
      </c>
      <c r="B345" s="10">
        <v>60</v>
      </c>
      <c r="C345" s="10">
        <v>15</v>
      </c>
      <c r="M345" s="10">
        <v>50</v>
      </c>
      <c r="N345" s="10">
        <v>60</v>
      </c>
      <c r="O345" s="10">
        <v>15</v>
      </c>
    </row>
    <row r="346" spans="1:15" x14ac:dyDescent="0.35">
      <c r="A346" s="10">
        <v>90</v>
      </c>
      <c r="B346" s="10">
        <v>80</v>
      </c>
      <c r="C346" s="10">
        <v>10</v>
      </c>
      <c r="M346" s="10">
        <v>90</v>
      </c>
      <c r="N346" s="10">
        <v>80</v>
      </c>
      <c r="O346" s="10">
        <v>10</v>
      </c>
    </row>
    <row r="347" spans="1:15" x14ac:dyDescent="0.35">
      <c r="A347" s="10">
        <v>70</v>
      </c>
      <c r="B347" s="10">
        <v>100</v>
      </c>
      <c r="C347" s="10">
        <v>30</v>
      </c>
      <c r="M347" s="10">
        <v>70</v>
      </c>
      <c r="N347" s="10">
        <v>100</v>
      </c>
      <c r="O347" s="10">
        <v>30</v>
      </c>
    </row>
    <row r="348" spans="1:15" x14ac:dyDescent="0.35">
      <c r="A348" s="10">
        <v>80</v>
      </c>
      <c r="B348" s="10">
        <v>120</v>
      </c>
      <c r="C348" s="10">
        <v>90</v>
      </c>
      <c r="M348" s="10">
        <v>80</v>
      </c>
      <c r="N348" s="10">
        <v>120</v>
      </c>
      <c r="O348" s="10">
        <v>90</v>
      </c>
    </row>
    <row r="349" spans="1:15" x14ac:dyDescent="0.35">
      <c r="A349" s="10">
        <v>85</v>
      </c>
      <c r="B349" s="10">
        <v>140</v>
      </c>
      <c r="C349" s="10">
        <v>100</v>
      </c>
      <c r="M349" s="10">
        <v>85</v>
      </c>
      <c r="N349" s="10">
        <v>140</v>
      </c>
      <c r="O349" s="10">
        <v>100</v>
      </c>
    </row>
    <row r="350" spans="1:15" x14ac:dyDescent="0.35">
      <c r="A350" s="10">
        <v>60</v>
      </c>
      <c r="B350" s="10">
        <v>160</v>
      </c>
      <c r="C350" s="10">
        <v>10</v>
      </c>
      <c r="M350" s="10">
        <v>60</v>
      </c>
      <c r="N350" s="10">
        <v>160</v>
      </c>
      <c r="O350" s="10">
        <v>10</v>
      </c>
    </row>
    <row r="351" spans="1:15" x14ac:dyDescent="0.35">
      <c r="A351" s="10">
        <v>70</v>
      </c>
      <c r="B351" s="10">
        <v>200</v>
      </c>
      <c r="C351" s="10">
        <v>20</v>
      </c>
      <c r="M351" s="10">
        <v>70</v>
      </c>
      <c r="N351" s="10">
        <v>200</v>
      </c>
      <c r="O351" s="10">
        <v>20</v>
      </c>
    </row>
    <row r="352" spans="1:15" x14ac:dyDescent="0.35">
      <c r="A352" s="10">
        <v>60</v>
      </c>
      <c r="B352" s="10">
        <v>20</v>
      </c>
      <c r="C352" s="10">
        <v>30</v>
      </c>
      <c r="M352" s="10">
        <v>60</v>
      </c>
      <c r="N352" s="10">
        <v>20</v>
      </c>
      <c r="O352" s="10">
        <v>30</v>
      </c>
    </row>
    <row r="353" spans="1:16" x14ac:dyDescent="0.35">
      <c r="A353" s="10">
        <v>100</v>
      </c>
      <c r="B353" s="10">
        <v>10</v>
      </c>
      <c r="C353" s="10">
        <v>60</v>
      </c>
      <c r="M353" s="10">
        <v>100</v>
      </c>
      <c r="N353" s="10">
        <v>10</v>
      </c>
      <c r="O353" s="10">
        <v>60</v>
      </c>
    </row>
    <row r="354" spans="1:16" x14ac:dyDescent="0.35">
      <c r="A354" s="10">
        <v>120</v>
      </c>
      <c r="B354" s="10">
        <v>30</v>
      </c>
      <c r="C354" s="10">
        <v>70</v>
      </c>
      <c r="M354" s="10">
        <v>120</v>
      </c>
      <c r="N354" s="10">
        <v>30</v>
      </c>
      <c r="O354" s="10">
        <v>70</v>
      </c>
    </row>
    <row r="355" spans="1:16" x14ac:dyDescent="0.35">
      <c r="A355" s="10">
        <v>30</v>
      </c>
      <c r="B355" s="10">
        <v>80</v>
      </c>
      <c r="C355" s="10">
        <v>50</v>
      </c>
      <c r="M355" s="10">
        <v>30</v>
      </c>
      <c r="N355" s="10">
        <v>80</v>
      </c>
      <c r="O355" s="10">
        <v>50</v>
      </c>
    </row>
    <row r="356" spans="1:16" x14ac:dyDescent="0.35">
      <c r="A356" s="10">
        <v>20</v>
      </c>
      <c r="B356" s="10">
        <v>90</v>
      </c>
      <c r="C356" s="10">
        <v>60</v>
      </c>
      <c r="M356" s="10">
        <v>20</v>
      </c>
      <c r="N356" s="10">
        <v>90</v>
      </c>
      <c r="O356" s="10">
        <v>60</v>
      </c>
    </row>
    <row r="357" spans="1:16" x14ac:dyDescent="0.35">
      <c r="A357" s="10">
        <v>10</v>
      </c>
      <c r="B357" s="10">
        <v>55</v>
      </c>
      <c r="C357" s="10">
        <v>70</v>
      </c>
      <c r="M357" s="10">
        <v>10</v>
      </c>
      <c r="N357" s="10">
        <v>55</v>
      </c>
      <c r="O357" s="10">
        <v>70</v>
      </c>
    </row>
    <row r="361" spans="1:16" ht="62.25" customHeight="1" thickBot="1" x14ac:dyDescent="0.4">
      <c r="A361" s="115" t="s">
        <v>229</v>
      </c>
      <c r="B361" s="116"/>
      <c r="C361" s="116"/>
      <c r="D361" s="117"/>
      <c r="M361" s="115" t="s">
        <v>230</v>
      </c>
      <c r="N361" s="116"/>
      <c r="O361" s="116"/>
      <c r="P361" s="117"/>
    </row>
    <row r="362" spans="1:16" x14ac:dyDescent="0.35">
      <c r="A362" s="95" t="s">
        <v>212</v>
      </c>
      <c r="B362" s="96" t="s">
        <v>3</v>
      </c>
      <c r="C362" s="97" t="s">
        <v>38</v>
      </c>
      <c r="D362" s="98" t="s">
        <v>39</v>
      </c>
      <c r="M362" s="95" t="s">
        <v>212</v>
      </c>
      <c r="N362" s="96" t="s">
        <v>3</v>
      </c>
      <c r="O362" s="97" t="s">
        <v>38</v>
      </c>
      <c r="P362" s="98" t="s">
        <v>39</v>
      </c>
    </row>
    <row r="363" spans="1:16" x14ac:dyDescent="0.35">
      <c r="A363" s="10"/>
      <c r="B363" s="10" t="s">
        <v>8</v>
      </c>
      <c r="C363" s="41">
        <v>45682</v>
      </c>
      <c r="D363" s="41">
        <v>45689</v>
      </c>
      <c r="M363" s="10">
        <f>IF(P363&lt;&gt;"",3,1)</f>
        <v>3</v>
      </c>
      <c r="N363" s="10" t="s">
        <v>8</v>
      </c>
      <c r="O363" s="41">
        <v>45682</v>
      </c>
      <c r="P363" s="41">
        <v>45689</v>
      </c>
    </row>
    <row r="364" spans="1:16" x14ac:dyDescent="0.35">
      <c r="A364" s="10"/>
      <c r="B364" s="10" t="s">
        <v>10</v>
      </c>
      <c r="C364" s="41">
        <v>45683</v>
      </c>
      <c r="D364" s="41"/>
      <c r="M364" s="10">
        <f t="shared" ref="M364:M370" si="7">IF(P364&lt;&gt;"",3,1)</f>
        <v>1</v>
      </c>
      <c r="N364" s="10" t="s">
        <v>10</v>
      </c>
      <c r="O364" s="41">
        <v>45683</v>
      </c>
      <c r="P364" s="41"/>
    </row>
    <row r="365" spans="1:16" x14ac:dyDescent="0.35">
      <c r="A365" s="10"/>
      <c r="B365" s="10" t="s">
        <v>12</v>
      </c>
      <c r="C365" s="41">
        <v>45684</v>
      </c>
      <c r="D365" s="41">
        <v>45698</v>
      </c>
      <c r="M365" s="10">
        <f t="shared" si="7"/>
        <v>3</v>
      </c>
      <c r="N365" s="10" t="s">
        <v>12</v>
      </c>
      <c r="O365" s="41">
        <v>45684</v>
      </c>
      <c r="P365" s="41">
        <v>45698</v>
      </c>
    </row>
    <row r="366" spans="1:16" x14ac:dyDescent="0.35">
      <c r="A366" s="10"/>
      <c r="B366" s="10" t="s">
        <v>13</v>
      </c>
      <c r="C366" s="41">
        <v>45685</v>
      </c>
      <c r="D366" s="41"/>
      <c r="M366" s="10">
        <f t="shared" si="7"/>
        <v>1</v>
      </c>
      <c r="N366" s="10" t="s">
        <v>13</v>
      </c>
      <c r="O366" s="41">
        <v>45685</v>
      </c>
      <c r="P366" s="41"/>
    </row>
    <row r="367" spans="1:16" x14ac:dyDescent="0.35">
      <c r="A367" s="10"/>
      <c r="B367" s="10" t="s">
        <v>14</v>
      </c>
      <c r="C367" s="41">
        <v>45686</v>
      </c>
      <c r="D367" s="41">
        <v>45699</v>
      </c>
      <c r="M367" s="10">
        <f t="shared" si="7"/>
        <v>3</v>
      </c>
      <c r="N367" s="10" t="s">
        <v>14</v>
      </c>
      <c r="O367" s="41">
        <v>45686</v>
      </c>
      <c r="P367" s="41">
        <v>45699</v>
      </c>
    </row>
    <row r="368" spans="1:16" x14ac:dyDescent="0.35">
      <c r="A368" s="10"/>
      <c r="B368" s="10" t="s">
        <v>15</v>
      </c>
      <c r="C368" s="41">
        <v>45687</v>
      </c>
      <c r="D368" s="41">
        <v>45700</v>
      </c>
      <c r="M368" s="10">
        <f t="shared" si="7"/>
        <v>3</v>
      </c>
      <c r="N368" s="10" t="s">
        <v>15</v>
      </c>
      <c r="O368" s="41">
        <v>45687</v>
      </c>
      <c r="P368" s="41">
        <v>45700</v>
      </c>
    </row>
    <row r="369" spans="1:16" x14ac:dyDescent="0.35">
      <c r="A369" s="10"/>
      <c r="B369" s="10" t="s">
        <v>16</v>
      </c>
      <c r="C369" s="41">
        <v>45688</v>
      </c>
      <c r="D369" s="41"/>
      <c r="M369" s="10">
        <f t="shared" si="7"/>
        <v>1</v>
      </c>
      <c r="N369" s="10" t="s">
        <v>16</v>
      </c>
      <c r="O369" s="41">
        <v>45688</v>
      </c>
      <c r="P369" s="41"/>
    </row>
    <row r="370" spans="1:16" x14ac:dyDescent="0.35">
      <c r="A370" s="10"/>
      <c r="B370" s="10" t="s">
        <v>17</v>
      </c>
      <c r="C370" s="41">
        <v>45689</v>
      </c>
      <c r="D370" s="41">
        <v>45703</v>
      </c>
      <c r="M370" s="10">
        <f t="shared" si="7"/>
        <v>3</v>
      </c>
      <c r="N370" s="10" t="s">
        <v>17</v>
      </c>
      <c r="O370" s="41">
        <v>45689</v>
      </c>
      <c r="P370" s="41">
        <v>45703</v>
      </c>
    </row>
    <row r="375" spans="1:16" ht="16" thickBot="1" x14ac:dyDescent="0.4">
      <c r="A375" s="106" t="s">
        <v>231</v>
      </c>
      <c r="B375" s="106"/>
      <c r="C375" s="106"/>
      <c r="M375" s="112" t="s">
        <v>231</v>
      </c>
      <c r="N375" s="112"/>
      <c r="O375" s="112"/>
    </row>
    <row r="376" spans="1:16" x14ac:dyDescent="0.35">
      <c r="A376" s="99">
        <v>45672</v>
      </c>
      <c r="B376" s="72">
        <v>45682</v>
      </c>
      <c r="C376" s="73">
        <v>45692</v>
      </c>
      <c r="M376" s="41">
        <v>45672</v>
      </c>
      <c r="N376" s="41">
        <v>45682</v>
      </c>
      <c r="O376" s="41">
        <v>45692</v>
      </c>
    </row>
    <row r="377" spans="1:16" x14ac:dyDescent="0.35">
      <c r="A377" s="100">
        <v>45673</v>
      </c>
      <c r="B377" s="101">
        <v>45683</v>
      </c>
      <c r="C377" s="102">
        <v>45693</v>
      </c>
      <c r="M377" s="41">
        <v>45673</v>
      </c>
      <c r="N377" s="41">
        <v>45683</v>
      </c>
      <c r="O377" s="41">
        <v>45693</v>
      </c>
    </row>
    <row r="378" spans="1:16" x14ac:dyDescent="0.35">
      <c r="A378" s="100">
        <v>45674</v>
      </c>
      <c r="B378" s="101">
        <v>45684</v>
      </c>
      <c r="C378" s="102">
        <v>45694</v>
      </c>
      <c r="M378" s="41">
        <v>45674</v>
      </c>
      <c r="N378" s="41">
        <v>45684</v>
      </c>
      <c r="O378" s="41">
        <v>45694</v>
      </c>
    </row>
    <row r="379" spans="1:16" x14ac:dyDescent="0.35">
      <c r="A379" s="100">
        <v>45675</v>
      </c>
      <c r="B379" s="101">
        <v>45685</v>
      </c>
      <c r="C379" s="102">
        <v>45695</v>
      </c>
      <c r="M379" s="41">
        <v>45675</v>
      </c>
      <c r="N379" s="41">
        <v>45685</v>
      </c>
      <c r="O379" s="41">
        <v>45695</v>
      </c>
    </row>
    <row r="380" spans="1:16" x14ac:dyDescent="0.35">
      <c r="A380" s="100">
        <v>45676</v>
      </c>
      <c r="B380" s="101">
        <v>45686</v>
      </c>
      <c r="C380" s="102">
        <v>45696</v>
      </c>
      <c r="M380" s="41">
        <v>45676</v>
      </c>
      <c r="N380" s="41">
        <v>45686</v>
      </c>
      <c r="O380" s="41">
        <v>45696</v>
      </c>
    </row>
    <row r="381" spans="1:16" x14ac:dyDescent="0.35">
      <c r="A381" s="100">
        <v>45677</v>
      </c>
      <c r="B381" s="101">
        <v>45687</v>
      </c>
      <c r="C381" s="102">
        <v>45697</v>
      </c>
      <c r="M381" s="41">
        <v>45677</v>
      </c>
      <c r="N381" s="41">
        <v>45687</v>
      </c>
      <c r="O381" s="41">
        <v>45697</v>
      </c>
    </row>
    <row r="382" spans="1:16" x14ac:dyDescent="0.35">
      <c r="A382" s="100">
        <v>45678</v>
      </c>
      <c r="B382" s="101">
        <v>45688</v>
      </c>
      <c r="C382" s="102">
        <v>45698</v>
      </c>
      <c r="M382" s="41">
        <v>45678</v>
      </c>
      <c r="N382" s="41">
        <v>45688</v>
      </c>
      <c r="O382" s="41">
        <v>45698</v>
      </c>
    </row>
    <row r="383" spans="1:16" x14ac:dyDescent="0.35">
      <c r="A383" s="100">
        <v>45679</v>
      </c>
      <c r="B383" s="101">
        <v>45689</v>
      </c>
      <c r="C383" s="102">
        <v>45699</v>
      </c>
      <c r="M383" s="41">
        <v>45679</v>
      </c>
      <c r="N383" s="41">
        <v>45689</v>
      </c>
      <c r="O383" s="41">
        <v>45699</v>
      </c>
    </row>
    <row r="384" spans="1:16" x14ac:dyDescent="0.35">
      <c r="A384" s="100">
        <v>45680</v>
      </c>
      <c r="B384" s="101">
        <v>45690</v>
      </c>
      <c r="C384" s="102">
        <v>45700</v>
      </c>
      <c r="M384" s="41">
        <v>45680</v>
      </c>
      <c r="N384" s="41">
        <v>45690</v>
      </c>
      <c r="O384" s="41">
        <v>45700</v>
      </c>
    </row>
    <row r="385" spans="1:15" ht="15" thickBot="1" x14ac:dyDescent="0.4">
      <c r="A385" s="103">
        <v>45681</v>
      </c>
      <c r="B385" s="104">
        <v>45691</v>
      </c>
      <c r="C385" s="105">
        <v>45701</v>
      </c>
      <c r="M385" s="41">
        <v>45681</v>
      </c>
      <c r="N385" s="41">
        <v>45691</v>
      </c>
      <c r="O385" s="41">
        <v>45701</v>
      </c>
    </row>
  </sheetData>
  <mergeCells count="65">
    <mergeCell ref="A375:C375"/>
    <mergeCell ref="M375:O375"/>
    <mergeCell ref="A327:B327"/>
    <mergeCell ref="M327:N327"/>
    <mergeCell ref="A342:C342"/>
    <mergeCell ref="M342:O342"/>
    <mergeCell ref="A361:D361"/>
    <mergeCell ref="M361:P361"/>
    <mergeCell ref="A278:C278"/>
    <mergeCell ref="M278:O278"/>
    <mergeCell ref="A291:C291"/>
    <mergeCell ref="M291:O291"/>
    <mergeCell ref="A313:F313"/>
    <mergeCell ref="M313:R313"/>
    <mergeCell ref="A223:G223"/>
    <mergeCell ref="M223:S223"/>
    <mergeCell ref="A242:G242"/>
    <mergeCell ref="M242:S242"/>
    <mergeCell ref="A265:G265"/>
    <mergeCell ref="M265:S265"/>
    <mergeCell ref="A188:C188"/>
    <mergeCell ref="M188:O188"/>
    <mergeCell ref="A197:C197"/>
    <mergeCell ref="M197:O197"/>
    <mergeCell ref="A208:C208"/>
    <mergeCell ref="M208:O208"/>
    <mergeCell ref="D198:E206"/>
    <mergeCell ref="A159:B159"/>
    <mergeCell ref="M159:N159"/>
    <mergeCell ref="A170:C170"/>
    <mergeCell ref="M170:O170"/>
    <mergeCell ref="A179:C179"/>
    <mergeCell ref="M179:O179"/>
    <mergeCell ref="C159:D167"/>
    <mergeCell ref="E159:F167"/>
    <mergeCell ref="A129:B129"/>
    <mergeCell ref="M129:N129"/>
    <mergeCell ref="A137:C137"/>
    <mergeCell ref="M137:O137"/>
    <mergeCell ref="A148:C148"/>
    <mergeCell ref="M148:O148"/>
    <mergeCell ref="A93:E93"/>
    <mergeCell ref="M93:Q93"/>
    <mergeCell ref="A105:E105"/>
    <mergeCell ref="M105:Q105"/>
    <mergeCell ref="A117:C117"/>
    <mergeCell ref="M117:O117"/>
    <mergeCell ref="A71:C71"/>
    <mergeCell ref="M71:O71"/>
    <mergeCell ref="A77:C77"/>
    <mergeCell ref="M77:O77"/>
    <mergeCell ref="A85:C85"/>
    <mergeCell ref="M85:O85"/>
    <mergeCell ref="A38:C38"/>
    <mergeCell ref="M38:O38"/>
    <mergeCell ref="A49:C49"/>
    <mergeCell ref="M49:O49"/>
    <mergeCell ref="A60:C60"/>
    <mergeCell ref="M60:O60"/>
    <mergeCell ref="A3:E3"/>
    <mergeCell ref="M3:Q3"/>
    <mergeCell ref="A15:E15"/>
    <mergeCell ref="M15:Q15"/>
    <mergeCell ref="A27:C27"/>
    <mergeCell ref="M27:O27"/>
  </mergeCells>
  <phoneticPr fontId="12" type="noConversion"/>
  <conditionalFormatting sqref="A5:E12">
    <cfRule type="expression" dxfId="130" priority="49">
      <formula>$E5&gt;AVERAGE($E$5:$E$12)</formula>
    </cfRule>
  </conditionalFormatting>
  <conditionalFormatting sqref="A17:E24">
    <cfRule type="expression" dxfId="129" priority="48">
      <formula>$C17=0</formula>
    </cfRule>
  </conditionalFormatting>
  <conditionalFormatting sqref="B29:C35">
    <cfRule type="expression" dxfId="128" priority="47">
      <formula>$B29&gt;$C29</formula>
    </cfRule>
  </conditionalFormatting>
  <conditionalFormatting sqref="B40:C46">
    <cfRule type="expression" dxfId="127" priority="46">
      <formula>B40&gt;$D$38</formula>
    </cfRule>
  </conditionalFormatting>
  <conditionalFormatting sqref="B51:C57">
    <cfRule type="expression" dxfId="126" priority="45">
      <formula>$B51=$C51</formula>
    </cfRule>
  </conditionalFormatting>
  <conditionalFormatting sqref="B62:C68">
    <cfRule type="expression" dxfId="125" priority="44">
      <formula>$B62&lt;&gt;$C62</formula>
    </cfRule>
  </conditionalFormatting>
  <conditionalFormatting sqref="M160:M167">
    <cfRule type="expression" dxfId="124" priority="89">
      <formula>COUNTIF(List2,$M160)=0</formula>
    </cfRule>
  </conditionalFormatting>
  <conditionalFormatting sqref="M293:M309">
    <cfRule type="expression" dxfId="123" priority="61">
      <formula>$M293=TODAY()</formula>
    </cfRule>
  </conditionalFormatting>
  <conditionalFormatting sqref="M363:M370">
    <cfRule type="iconSet" priority="53">
      <iconSet iconSet="3Flags" showValue="0">
        <cfvo type="percent" val="0"/>
        <cfvo type="num" val="2"/>
        <cfvo type="num" val="3"/>
      </iconSet>
    </cfRule>
  </conditionalFormatting>
  <conditionalFormatting sqref="M134:N134">
    <cfRule type="expression" dxfId="122" priority="67">
      <formula>COUNT($N$130:$N$133)=4</formula>
    </cfRule>
  </conditionalFormatting>
  <conditionalFormatting sqref="M328:N337">
    <cfRule type="expression" dxfId="121" priority="83">
      <formula>$A328&lt;&gt;$B328</formula>
    </cfRule>
  </conditionalFormatting>
  <conditionalFormatting sqref="M119:O126">
    <cfRule type="expression" dxfId="120" priority="68">
      <formula>AND($N119&lt;&gt;"",$O119&lt;&gt;"")</formula>
    </cfRule>
    <cfRule type="expression" dxfId="119" priority="69">
      <formula>$N119&lt;&gt;""</formula>
    </cfRule>
  </conditionalFormatting>
  <conditionalFormatting sqref="M138:O145">
    <cfRule type="expression" dxfId="118" priority="66">
      <formula>ISTEXT(M138)</formula>
    </cfRule>
  </conditionalFormatting>
  <conditionalFormatting sqref="M149:O157">
    <cfRule type="expression" dxfId="117" priority="84">
      <formula>ISNUMBER(M149)</formula>
    </cfRule>
  </conditionalFormatting>
  <conditionalFormatting sqref="M171:O176">
    <cfRule type="expression" dxfId="116" priority="87">
      <formula>OR(M171="apple",M171="kiwi",M171="lime")</formula>
    </cfRule>
  </conditionalFormatting>
  <conditionalFormatting sqref="M180:O187 M195:O196">
    <cfRule type="expression" dxfId="115" priority="86">
      <formula>ISODD(M180)</formula>
    </cfRule>
  </conditionalFormatting>
  <conditionalFormatting sqref="M189:O194">
    <cfRule type="expression" dxfId="114" priority="85">
      <formula>ISEVEN(M189)</formula>
    </cfRule>
  </conditionalFormatting>
  <conditionalFormatting sqref="M198:O205">
    <cfRule type="expression" dxfId="113" priority="82">
      <formula>M198&gt;=LARGE(Data,$Q$197)</formula>
    </cfRule>
  </conditionalFormatting>
  <conditionalFormatting sqref="M209:O216">
    <cfRule type="expression" dxfId="112" priority="81">
      <formula>M209&lt;=SMALL(Data,$Q$208)</formula>
    </cfRule>
  </conditionalFormatting>
  <conditionalFormatting sqref="M280:O287">
    <cfRule type="expression" dxfId="111" priority="62">
      <formula>$O280=DATEVALUE("5/5/2025")</formula>
    </cfRule>
  </conditionalFormatting>
  <conditionalFormatting sqref="M343:O357">
    <cfRule type="cellIs" priority="54" stopIfTrue="1" operator="lessThan">
      <formula>80</formula>
    </cfRule>
    <cfRule type="iconSet" priority="55">
      <iconSet>
        <cfvo type="percent" val="0"/>
        <cfvo type="num" val="50"/>
        <cfvo type="num" val="80"/>
      </iconSet>
    </cfRule>
  </conditionalFormatting>
  <conditionalFormatting sqref="M376:O385">
    <cfRule type="expression" dxfId="110" priority="52">
      <formula>OR(WEEKDAY(M376,16)=7,WEEKDAY(M376,16)=1)</formula>
    </cfRule>
  </conditionalFormatting>
  <conditionalFormatting sqref="M5:Q12">
    <cfRule type="expression" dxfId="109" priority="80">
      <formula>$Q5&gt;AVERAGE($Q$5:$Q$12)</formula>
    </cfRule>
  </conditionalFormatting>
  <conditionalFormatting sqref="M17:Q24">
    <cfRule type="expression" dxfId="108" priority="79">
      <formula>$O17=0</formula>
    </cfRule>
  </conditionalFormatting>
  <conditionalFormatting sqref="M95:Q103">
    <cfRule type="expression" dxfId="107" priority="71">
      <formula>AND($O95=0,$P95="USA")</formula>
    </cfRule>
  </conditionalFormatting>
  <conditionalFormatting sqref="M107:Q114">
    <cfRule type="expression" dxfId="106" priority="70">
      <formula>OR($O107 =0,$P107="USA")</formula>
    </cfRule>
  </conditionalFormatting>
  <conditionalFormatting sqref="M225:S237">
    <cfRule type="expression" dxfId="105" priority="65">
      <formula>LEFT(M225)=LEFT($M$224)</formula>
    </cfRule>
  </conditionalFormatting>
  <conditionalFormatting sqref="M244:S259">
    <cfRule type="expression" dxfId="104" priority="64">
      <formula>COUNTIF(M244,$M$243)=1</formula>
    </cfRule>
  </conditionalFormatting>
  <conditionalFormatting sqref="N160:N167">
    <cfRule type="expression" dxfId="103" priority="88">
      <formula>COUNTIF(List1,$N160)=0</formula>
    </cfRule>
  </conditionalFormatting>
  <conditionalFormatting sqref="N293:N309">
    <cfRule type="expression" dxfId="102" priority="60">
      <formula>$N293&gt;TODAY()</formula>
    </cfRule>
  </conditionalFormatting>
  <conditionalFormatting sqref="N29:O35">
    <cfRule type="expression" dxfId="101" priority="78">
      <formula>$N29&gt;$O29</formula>
    </cfRule>
  </conditionalFormatting>
  <conditionalFormatting sqref="N40:O46">
    <cfRule type="expression" dxfId="100" priority="77">
      <formula>N40&gt;$P$38</formula>
    </cfRule>
  </conditionalFormatting>
  <conditionalFormatting sqref="N51:O57">
    <cfRule type="expression" dxfId="99" priority="76">
      <formula>$N51=$O51</formula>
    </cfRule>
  </conditionalFormatting>
  <conditionalFormatting sqref="N62:O68">
    <cfRule type="expression" dxfId="98" priority="75">
      <formula>$N62&lt;&gt;$O62</formula>
    </cfRule>
  </conditionalFormatting>
  <conditionalFormatting sqref="N79:O82">
    <cfRule type="expression" dxfId="97" priority="73">
      <formula>$N79=$O79</formula>
    </cfRule>
  </conditionalFormatting>
  <conditionalFormatting sqref="N87:O90">
    <cfRule type="expression" dxfId="96" priority="72">
      <formula>$N87&lt;&gt;$O87</formula>
    </cfRule>
  </conditionalFormatting>
  <conditionalFormatting sqref="N266:R266">
    <cfRule type="iconSet" priority="91">
      <iconSet iconSet="5Quarters">
        <cfvo type="percent" val="0"/>
        <cfvo type="num" val="2"/>
        <cfvo type="num" val="3"/>
        <cfvo type="num" val="4"/>
        <cfvo type="num" val="5"/>
      </iconSet>
    </cfRule>
  </conditionalFormatting>
  <conditionalFormatting sqref="N268:S273">
    <cfRule type="iconSet" priority="63">
      <iconSet iconSet="5Quarters">
        <cfvo type="percent" val="0"/>
        <cfvo type="num" val="2"/>
        <cfvo type="num" val="3"/>
        <cfvo type="num" val="4"/>
        <cfvo type="num" val="5"/>
      </iconSet>
    </cfRule>
  </conditionalFormatting>
  <conditionalFormatting sqref="N72:U73">
    <cfRule type="expression" dxfId="95" priority="74">
      <formula>N$72&gt;N$73</formula>
    </cfRule>
  </conditionalFormatting>
  <conditionalFormatting sqref="O293:O309">
    <cfRule type="expression" dxfId="94" priority="59">
      <formula>$O293&lt;TODAY()</formula>
    </cfRule>
  </conditionalFormatting>
  <conditionalFormatting sqref="Q293:Q309">
    <cfRule type="expression" dxfId="93" priority="56">
      <formula>$Q293&gt;TODAY()</formula>
    </cfRule>
    <cfRule type="expression" dxfId="92" priority="57">
      <formula>$Q293&lt;TODAY()</formula>
    </cfRule>
    <cfRule type="expression" dxfId="91" priority="58">
      <formula>$Q293=TODAY()</formula>
    </cfRule>
  </conditionalFormatting>
  <conditionalFormatting sqref="B72:I73">
    <cfRule type="expression" dxfId="90" priority="43">
      <formula>B$72&gt;B$73</formula>
    </cfRule>
  </conditionalFormatting>
  <conditionalFormatting sqref="B79:C82">
    <cfRule type="expression" dxfId="89" priority="42">
      <formula>$B79=$C79</formula>
    </cfRule>
  </conditionalFormatting>
  <conditionalFormatting sqref="B87:C90">
    <cfRule type="expression" dxfId="88" priority="41">
      <formula>$B87&lt;&gt;$C87</formula>
    </cfRule>
  </conditionalFormatting>
  <conditionalFormatting sqref="A95:E102">
    <cfRule type="expression" dxfId="87" priority="36">
      <formula>AND($C95=0,$D95=$D$95)</formula>
    </cfRule>
  </conditionalFormatting>
  <conditionalFormatting sqref="A107:E114">
    <cfRule type="expression" dxfId="86" priority="35">
      <formula>AND($C107=0,$D107=$D$107)</formula>
    </cfRule>
  </conditionalFormatting>
  <conditionalFormatting sqref="A119:C126">
    <cfRule type="expression" dxfId="85" priority="33">
      <formula>AND($B119&lt;&gt;"",$C119&lt;&gt;"")</formula>
    </cfRule>
    <cfRule type="expression" dxfId="84" priority="34">
      <formula>$B119&lt;&gt;""</formula>
    </cfRule>
  </conditionalFormatting>
  <conditionalFormatting sqref="A134:B134">
    <cfRule type="expression" dxfId="83" priority="31">
      <formula>COUNT($B$130:$B$133)=4</formula>
    </cfRule>
  </conditionalFormatting>
  <conditionalFormatting sqref="A138:C145">
    <cfRule type="expression" dxfId="82" priority="30">
      <formula>ISTEXT(A138)</formula>
    </cfRule>
  </conditionalFormatting>
  <conditionalFormatting sqref="A149:C156">
    <cfRule type="expression" dxfId="81" priority="29">
      <formula>ISNUMBER(A149)</formula>
    </cfRule>
  </conditionalFormatting>
  <conditionalFormatting sqref="A160:A167">
    <cfRule type="expression" dxfId="80" priority="28">
      <formula>COUNTIF(List2,$A160)=0</formula>
    </cfRule>
  </conditionalFormatting>
  <conditionalFormatting sqref="B160:B167">
    <cfRule type="expression" dxfId="79" priority="27">
      <formula>COUNTIF(List1,$B160)=0</formula>
    </cfRule>
  </conditionalFormatting>
  <conditionalFormatting sqref="A171:C176">
    <cfRule type="expression" dxfId="78" priority="26" stopIfTrue="1">
      <formula>OR(A171="apple",A171="kiwi",A171="lime")</formula>
    </cfRule>
  </conditionalFormatting>
  <conditionalFormatting sqref="A180:C185">
    <cfRule type="expression" dxfId="77" priority="25">
      <formula>ISODD(A180)</formula>
    </cfRule>
  </conditionalFormatting>
  <conditionalFormatting sqref="A189:C194">
    <cfRule type="expression" dxfId="76" priority="24">
      <formula>ISEVEN(A189)</formula>
    </cfRule>
  </conditionalFormatting>
  <conditionalFormatting sqref="A198:C205">
    <cfRule type="expression" dxfId="75" priority="23">
      <formula>A198&gt;=LARGE(Data,$E$197)</formula>
    </cfRule>
  </conditionalFormatting>
  <conditionalFormatting sqref="A209:C216">
    <cfRule type="expression" dxfId="74" priority="22">
      <formula>A209&lt;=SMALL(Data,$E$208)</formula>
    </cfRule>
  </conditionalFormatting>
  <conditionalFormatting sqref="B266:G273">
    <cfRule type="iconSet" priority="2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225:G237">
    <cfRule type="expression" dxfId="73" priority="18">
      <formula>LEFT(A225)=LEFT($A$224)</formula>
    </cfRule>
  </conditionalFormatting>
  <conditionalFormatting sqref="A244:G259">
    <cfRule type="expression" dxfId="72" priority="17">
      <formula>COUNTIF(A244,$A$243)=1</formula>
    </cfRule>
  </conditionalFormatting>
  <conditionalFormatting sqref="A280:C287">
    <cfRule type="expression" dxfId="71" priority="16">
      <formula>$C280=$C$281</formula>
    </cfRule>
  </conditionalFormatting>
  <conditionalFormatting sqref="A293:A309">
    <cfRule type="expression" dxfId="70" priority="15">
      <formula>$A293=TODAY()</formula>
    </cfRule>
  </conditionalFormatting>
  <conditionalFormatting sqref="B293:B309">
    <cfRule type="expression" dxfId="69" priority="14">
      <formula>$B$293&gt;TODAY()</formula>
    </cfRule>
  </conditionalFormatting>
  <conditionalFormatting sqref="C293:C309">
    <cfRule type="expression" dxfId="68" priority="13">
      <formula>$C293&lt;TODAY()</formula>
    </cfRule>
  </conditionalFormatting>
  <conditionalFormatting sqref="E293:E309">
    <cfRule type="expression" dxfId="67" priority="12">
      <formula>$E293&lt;TODAY()</formula>
    </cfRule>
  </conditionalFormatting>
  <conditionalFormatting sqref="A315:A323">
    <cfRule type="iconSet" priority="8">
      <iconSet iconSet="3Symbols" showValue="0">
        <cfvo type="percent" val="0"/>
        <cfvo type="num" val="1"/>
        <cfvo type="num" val="4"/>
      </iconSet>
    </cfRule>
  </conditionalFormatting>
  <conditionalFormatting sqref="A328:B337">
    <cfRule type="expression" dxfId="66" priority="3">
      <formula>$A328&lt;&gt;$B328</formula>
    </cfRule>
  </conditionalFormatting>
  <conditionalFormatting sqref="A363:A370">
    <cfRule type="iconSet" priority="2">
      <iconSet iconSet="3Flags" showValue="0">
        <cfvo type="percent" val="0"/>
        <cfvo type="num" val="2"/>
        <cfvo type="num" val="3"/>
      </iconSet>
    </cfRule>
  </conditionalFormatting>
  <conditionalFormatting sqref="A376:C385">
    <cfRule type="expression" dxfId="0" priority="1">
      <formula>OR(WEEKDAY(A376,16)=7,WEEKDAY(A376,16)=1)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0" id="{00000000-000E-0000-0000-00002F000000}">
            <x14:iconSet iconSet="3Symbols" showValue="0" custom="1">
              <x14:cfvo type="percent">
                <xm:f>0</xm:f>
              </x14:cfvo>
              <x14:cfvo type="num">
                <xm:f>1</xm:f>
              </x14:cfvo>
              <x14:cfvo type="num">
                <xm:f>5</xm:f>
              </x14:cfvo>
              <x14:cfIcon iconSet="3Symbols" iconId="2"/>
              <x14:cfIcon iconSet="3Symbols" iconId="1"/>
              <x14:cfIcon iconSet="3Symbols" iconId="0"/>
            </x14:iconSet>
          </x14:cfRule>
          <xm:sqref>M315:M323</xm:sqref>
        </x14:conditionalFormatting>
        <x14:conditionalFormatting xmlns:xm="http://schemas.microsoft.com/office/excel/2006/main">
          <x14:cfRule type="iconSet" priority="5" id="{BADAB090-CB6E-4320-988E-A7FF6ACF18B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80</xm:f>
              </x14:cfvo>
              <x14:cfIcon iconSet="NoIcons" iconId="0"/>
              <x14:cfIcon iconSet="NoIcons" iconId="0"/>
              <x14:cfIcon iconSet="3TrafficLights1" iconId="2"/>
            </x14:iconSet>
          </x14:cfRule>
          <xm:sqref>A343:C357</xm:sqref>
        </x14:conditionalFormatting>
        <x14:conditionalFormatting xmlns:xm="http://schemas.microsoft.com/office/excel/2006/main">
          <x14:cfRule type="iconSet" priority="4" id="{D7081666-058D-461F-8670-67545F50EB76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5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A315:A322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17be1f-df24-4ed7-b2fe-cb2789e1ed5f" xsi:nil="true"/>
    <lcf76f155ced4ddcb4097134ff3c332f xmlns="773ae310-5f92-4ed5-9a69-95b833cc21b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3A2B211AB2CA47B1BC903360B652AD" ma:contentTypeVersion="11" ma:contentTypeDescription="Create a new document." ma:contentTypeScope="" ma:versionID="1115a3a5780b04eb9e19fe48d67769d6">
  <xsd:schema xmlns:xsd="http://www.w3.org/2001/XMLSchema" xmlns:xs="http://www.w3.org/2001/XMLSchema" xmlns:p="http://schemas.microsoft.com/office/2006/metadata/properties" xmlns:ns2="773ae310-5f92-4ed5-9a69-95b833cc21b2" xmlns:ns3="7217be1f-df24-4ed7-b2fe-cb2789e1ed5f" targetNamespace="http://schemas.microsoft.com/office/2006/metadata/properties" ma:root="true" ma:fieldsID="f93bc77c4f249538b0f8abd326b665e5" ns2:_="" ns3:_="">
    <xsd:import namespace="773ae310-5f92-4ed5-9a69-95b833cc21b2"/>
    <xsd:import namespace="7217be1f-df24-4ed7-b2fe-cb2789e1ed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ae310-5f92-4ed5-9a69-95b833cc2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3e194f-0e8c-4526-a92f-53e42d4129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7be1f-df24-4ed7-b2fe-cb2789e1ed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321f21c-461b-4774-b1d3-d56dfe058ef7}" ma:internalName="TaxCatchAll" ma:showField="CatchAllData" ma:web="7217be1f-df24-4ed7-b2fe-cb2789e1ed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C61A0D-D3D0-4DB2-9BD4-AFE755863E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285D11-B9A5-439C-9FD0-C607FC8CC4E0}">
  <ds:schemaRefs>
    <ds:schemaRef ds:uri="http://schemas.microsoft.com/office/2006/documentManagement/types"/>
    <ds:schemaRef ds:uri="773ae310-5f92-4ed5-9a69-95b833cc21b2"/>
    <ds:schemaRef ds:uri="http://purl.org/dc/dcmitype/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7217be1f-df24-4ed7-b2fe-cb2789e1ed5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17D3B6F-C438-4E39-ABF5-28E885965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3ae310-5f92-4ed5-9a69-95b833cc21b2"/>
    <ds:schemaRef ds:uri="7217be1f-df24-4ed7-b2fe-cb2789e1ed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Formula-Based Rules</vt:lpstr>
      <vt:lpstr>'Formula-Based Rules'!Data</vt:lpstr>
      <vt:lpstr>'Formula-Based Rules'!First_List</vt:lpstr>
      <vt:lpstr>'Formula-Based Rules'!List1</vt:lpstr>
      <vt:lpstr>'Formula-Based Rules'!List2</vt:lpstr>
      <vt:lpstr>'Formula-Based Rules'!Second_List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Nouran Elzeky</dc:creator>
  <cp:lastModifiedBy>Menna AbdelNasser Ramadan Elnagar</cp:lastModifiedBy>
  <dcterms:created xsi:type="dcterms:W3CDTF">2026-08-25T15:51:29Z</dcterms:created>
  <dcterms:modified xsi:type="dcterms:W3CDTF">2026-09-05T19:50:24Z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0x010100F53A2B211AB2CA47B1BC903360B652AD</vt:lpwstr>
  </property>
</Properties>
</file>