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5"/>
  <workbookPr hidePivotFieldList="1"/>
  <mc:AlternateContent xmlns:mc="http://schemas.openxmlformats.org/markup-compatibility/2006">
    <mc:Choice Requires="x15">
      <x15ac:absPath xmlns:x15ac="http://schemas.microsoft.com/office/spreadsheetml/2010/11/ac" url="C:\Users\Pc\Downloads\depi\data\"/>
    </mc:Choice>
  </mc:AlternateContent>
  <xr:revisionPtr revIDLastSave="0" documentId="13_ncr:1_{EBD18216-4518-4002-90DD-0DFC4E39D116}" xr6:coauthVersionLast="47" xr6:coauthVersionMax="47" xr10:uidLastSave="{00000000-0000-0000-0000-000000000000}"/>
  <bookViews>
    <workbookView xWindow="-90" yWindow="0" windowWidth="9780" windowHeight="10890" firstSheet="4" activeTab="4" xr2:uid="{00000000-000D-0000-FFFF-FFFF00000000}"/>
  </bookViews>
  <sheets>
    <sheet name="Sheet1" sheetId="2" r:id="rId1"/>
    <sheet name="Sheet3" sheetId="4" r:id="rId2"/>
    <sheet name="Sheet4" sheetId="5" r:id="rId3"/>
    <sheet name="Detail1" sheetId="8" r:id="rId4"/>
    <sheet name="Sheet2" sheetId="6" r:id="rId5"/>
    <sheet name="Dashboard" sheetId="7" r:id="rId6"/>
    <sheet name="Data" sheetId="1" r:id="rId7"/>
  </sheets>
  <definedNames>
    <definedName name="_xlnm._FilterDatabase" localSheetId="6" hidden="1">Data!$A$1:$K$301</definedName>
    <definedName name="Slicer_Category">#N/A</definedName>
    <definedName name="Slicer_Gender">#N/A</definedName>
    <definedName name="Slicer_Sea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7" l="1"/>
  <c r="F7" i="7"/>
  <c r="B7" i="7"/>
</calcChain>
</file>

<file path=xl/sharedStrings.xml><?xml version="1.0" encoding="utf-8"?>
<sst xmlns="http://schemas.openxmlformats.org/spreadsheetml/2006/main" count="2818" uniqueCount="364">
  <si>
    <t>Customer Name</t>
  </si>
  <si>
    <t>State</t>
  </si>
  <si>
    <t>Purchase Amount</t>
  </si>
  <si>
    <t>Item Purchased</t>
  </si>
  <si>
    <t>Shipping Type</t>
  </si>
  <si>
    <t>Category</t>
  </si>
  <si>
    <t>Season</t>
  </si>
  <si>
    <t>Age</t>
  </si>
  <si>
    <t>Gender</t>
  </si>
  <si>
    <t>Review Rating</t>
  </si>
  <si>
    <t>Date</t>
  </si>
  <si>
    <t>Mandy Barber</t>
  </si>
  <si>
    <t>Florida</t>
  </si>
  <si>
    <t>Camera</t>
  </si>
  <si>
    <t>Free Shipping</t>
  </si>
  <si>
    <t>Electronics</t>
  </si>
  <si>
    <t>Winter</t>
  </si>
  <si>
    <t>Female</t>
  </si>
  <si>
    <t>Ryan May</t>
  </si>
  <si>
    <t>Michigan</t>
  </si>
  <si>
    <t>Mouse</t>
  </si>
  <si>
    <t>Overnight</t>
  </si>
  <si>
    <t>Accessories</t>
  </si>
  <si>
    <t>Fall</t>
  </si>
  <si>
    <t>Male</t>
  </si>
  <si>
    <t>Jennifer Baker</t>
  </si>
  <si>
    <t>Pennsylvania</t>
  </si>
  <si>
    <t>Headphones</t>
  </si>
  <si>
    <t>Spring</t>
  </si>
  <si>
    <t>Samuel Kerr</t>
  </si>
  <si>
    <t>Ohio</t>
  </si>
  <si>
    <t>Laptop</t>
  </si>
  <si>
    <t>Same-Day Delivery</t>
  </si>
  <si>
    <t>Summer</t>
  </si>
  <si>
    <t>Ryan Hunter</t>
  </si>
  <si>
    <t>Georgia</t>
  </si>
  <si>
    <t>Smartphone</t>
  </si>
  <si>
    <t>Patricia Freeman</t>
  </si>
  <si>
    <t>California</t>
  </si>
  <si>
    <t>Keyboard</t>
  </si>
  <si>
    <t>Gregory Rice</t>
  </si>
  <si>
    <t>Jillian Ward</t>
  </si>
  <si>
    <t>Texas</t>
  </si>
  <si>
    <t>Tablet</t>
  </si>
  <si>
    <t>Oscar Bates</t>
  </si>
  <si>
    <t>Smartwatch</t>
  </si>
  <si>
    <t>Roger Robinson</t>
  </si>
  <si>
    <t>Standard</t>
  </si>
  <si>
    <t>Nichole Alvarado</t>
  </si>
  <si>
    <t>Monitor</t>
  </si>
  <si>
    <t>Home Office</t>
  </si>
  <si>
    <t>Paige Baker</t>
  </si>
  <si>
    <t>Printer</t>
  </si>
  <si>
    <t>Jaime Golden</t>
  </si>
  <si>
    <t>Christopher Holmes</t>
  </si>
  <si>
    <t>Illinois</t>
  </si>
  <si>
    <t>Valerie Cummings</t>
  </si>
  <si>
    <t>Brenda Thompson</t>
  </si>
  <si>
    <t>Joseph Smith</t>
  </si>
  <si>
    <t>Lori Carroll</t>
  </si>
  <si>
    <t>Dennis Horne Jr.</t>
  </si>
  <si>
    <t>Sharon Gonzalez</t>
  </si>
  <si>
    <t>Jonathan Garrett</t>
  </si>
  <si>
    <t>Kayla Harrell</t>
  </si>
  <si>
    <t>Matthew Summers</t>
  </si>
  <si>
    <t>North Carolina</t>
  </si>
  <si>
    <t>Rachael Jackson</t>
  </si>
  <si>
    <t>Angel Stein</t>
  </si>
  <si>
    <t>Susan Cox</t>
  </si>
  <si>
    <t>Julie Mitchell</t>
  </si>
  <si>
    <t>Julia Odonnell</t>
  </si>
  <si>
    <t>Richard Holland</t>
  </si>
  <si>
    <t>New York</t>
  </si>
  <si>
    <t>Jeffrey Woods</t>
  </si>
  <si>
    <t>Jonathan Luna</t>
  </si>
  <si>
    <t>Monica George</t>
  </si>
  <si>
    <t>Joshua Le MD</t>
  </si>
  <si>
    <t>Kyle Morgan</t>
  </si>
  <si>
    <t>Andrew Nunez</t>
  </si>
  <si>
    <t>Jordan Vasquez</t>
  </si>
  <si>
    <t>Wendy Salazar</t>
  </si>
  <si>
    <t>Patrick Lamb</t>
  </si>
  <si>
    <t>Raymond Walker</t>
  </si>
  <si>
    <t>Dennis Gates</t>
  </si>
  <si>
    <t>Jason Hernandez</t>
  </si>
  <si>
    <t>Jennifer Hopkins</t>
  </si>
  <si>
    <t>Danielle Bean</t>
  </si>
  <si>
    <t>Troy Garcia</t>
  </si>
  <si>
    <t>Kim Nichols</t>
  </si>
  <si>
    <t>Troy Webster</t>
  </si>
  <si>
    <t>Breanna Mcgee</t>
  </si>
  <si>
    <t>Stephanie Baldwin</t>
  </si>
  <si>
    <t>Three-Day Shipping</t>
  </si>
  <si>
    <t>Douglas Bailey</t>
  </si>
  <si>
    <t>Diane Weaver</t>
  </si>
  <si>
    <t>Mark Campbell</t>
  </si>
  <si>
    <t>David Riley</t>
  </si>
  <si>
    <t>Lindsay Scott</t>
  </si>
  <si>
    <t>Timothy Huerta</t>
  </si>
  <si>
    <t>Charles Jackson</t>
  </si>
  <si>
    <t>Jacob Wilson</t>
  </si>
  <si>
    <t>Angela Jackson</t>
  </si>
  <si>
    <t>Michael Williams</t>
  </si>
  <si>
    <t>Stacey Boyd</t>
  </si>
  <si>
    <t>Holly Miles</t>
  </si>
  <si>
    <t>Gerald Harris</t>
  </si>
  <si>
    <t>Pam Morgan</t>
  </si>
  <si>
    <t>Danielle Wilkinson</t>
  </si>
  <si>
    <t>Mrs. Lisa Bishop</t>
  </si>
  <si>
    <t>Jo Kim</t>
  </si>
  <si>
    <t>Peter Sutton</t>
  </si>
  <si>
    <t>Lauren Fox</t>
  </si>
  <si>
    <t>Stephanie Lopez</t>
  </si>
  <si>
    <t>Jacqueline Patterson</t>
  </si>
  <si>
    <t>Jessica Moore</t>
  </si>
  <si>
    <t>Zachary Houston DDS</t>
  </si>
  <si>
    <t>John Adams</t>
  </si>
  <si>
    <t>Patrick Nelson</t>
  </si>
  <si>
    <t>Kathleen Robinson</t>
  </si>
  <si>
    <t>Martha Huang</t>
  </si>
  <si>
    <t>Hector Washington</t>
  </si>
  <si>
    <t>Jason Acosta</t>
  </si>
  <si>
    <t>Justin Anderson</t>
  </si>
  <si>
    <t>Dawn Bautista</t>
  </si>
  <si>
    <t>Mary Salazar</t>
  </si>
  <si>
    <t>Rachel Murray</t>
  </si>
  <si>
    <t>Samuel Johnson</t>
  </si>
  <si>
    <t>William Bates</t>
  </si>
  <si>
    <t>Beth Dixon</t>
  </si>
  <si>
    <t>Kristina Carter</t>
  </si>
  <si>
    <t>Anthony Schmidt</t>
  </si>
  <si>
    <t>Kimberly Griffin</t>
  </si>
  <si>
    <t>Thomas Reeves</t>
  </si>
  <si>
    <t>Allison Blake</t>
  </si>
  <si>
    <t>Jason King</t>
  </si>
  <si>
    <t>Christina Gilbert</t>
  </si>
  <si>
    <t>Casey Rodriguez</t>
  </si>
  <si>
    <t>Sonya Franklin</t>
  </si>
  <si>
    <t>Nancy Church</t>
  </si>
  <si>
    <t>Danielle Spence</t>
  </si>
  <si>
    <t>Robert Davis</t>
  </si>
  <si>
    <t>Joseph Hood</t>
  </si>
  <si>
    <t>Kristy Hobbs</t>
  </si>
  <si>
    <t>Phyllis Mayo</t>
  </si>
  <si>
    <t>Robert Cooper</t>
  </si>
  <si>
    <t>Walter Scott</t>
  </si>
  <si>
    <t>Kelly Green</t>
  </si>
  <si>
    <t>Joshua Griffin</t>
  </si>
  <si>
    <t>Lauren Ortiz</t>
  </si>
  <si>
    <t>Sabrina Rice</t>
  </si>
  <si>
    <t>Albert Turner</t>
  </si>
  <si>
    <t>Jonathan Munoz</t>
  </si>
  <si>
    <t>Elizabeth May</t>
  </si>
  <si>
    <t>Evan Horton</t>
  </si>
  <si>
    <t>Logan Rodriguez</t>
  </si>
  <si>
    <t>Kevin Ruiz</t>
  </si>
  <si>
    <t>Alexandra Cook</t>
  </si>
  <si>
    <t>Chad Rios</t>
  </si>
  <si>
    <t>Vanessa Herrera</t>
  </si>
  <si>
    <t>Joseph Mcdaniel</t>
  </si>
  <si>
    <t>Troy Stanley</t>
  </si>
  <si>
    <t>Peter Jones</t>
  </si>
  <si>
    <t>Christian Mills</t>
  </si>
  <si>
    <t>Anthony Erickson</t>
  </si>
  <si>
    <t>Sharon Hodge</t>
  </si>
  <si>
    <t>Jeffrey Martinez</t>
  </si>
  <si>
    <t>Christine Richards</t>
  </si>
  <si>
    <t>Sarah Lynn</t>
  </si>
  <si>
    <t>Sean Little</t>
  </si>
  <si>
    <t>Brandon Wagner</t>
  </si>
  <si>
    <t>Lee Gonzales</t>
  </si>
  <si>
    <t>Ryan Michael</t>
  </si>
  <si>
    <t>Stephen Pearson</t>
  </si>
  <si>
    <t>Scott Benson</t>
  </si>
  <si>
    <t>Annette Perez</t>
  </si>
  <si>
    <t>Christopher Kim</t>
  </si>
  <si>
    <t>Eric Cochran</t>
  </si>
  <si>
    <t>Jennifer Miller</t>
  </si>
  <si>
    <t>Patrick Bryan</t>
  </si>
  <si>
    <t>Cynthia Shelton</t>
  </si>
  <si>
    <t>Kelli Jackson</t>
  </si>
  <si>
    <t>Andrew Whitney</t>
  </si>
  <si>
    <t>Katherine Gomez</t>
  </si>
  <si>
    <t>Kristen Lara</t>
  </si>
  <si>
    <t>Dr. Jacqueline Davis</t>
  </si>
  <si>
    <t>Sean Davis</t>
  </si>
  <si>
    <t>Suzanne Goodwin</t>
  </si>
  <si>
    <t>Daniel Hudson</t>
  </si>
  <si>
    <t>Tina Gross</t>
  </si>
  <si>
    <t>Theresa Nunez</t>
  </si>
  <si>
    <t>Teresa Alvarado</t>
  </si>
  <si>
    <t>John Hebert</t>
  </si>
  <si>
    <t>Wesley Morris</t>
  </si>
  <si>
    <t>John Rosario</t>
  </si>
  <si>
    <t>Amanda Clark</t>
  </si>
  <si>
    <t>Susan Peters</t>
  </si>
  <si>
    <t>Ashley Smith</t>
  </si>
  <si>
    <t>Ryan Hartman</t>
  </si>
  <si>
    <t>Walter Gonzalez</t>
  </si>
  <si>
    <t>Mr. Jose Adkins</t>
  </si>
  <si>
    <t>Amanda Schmidt</t>
  </si>
  <si>
    <t>Wendy Bennett</t>
  </si>
  <si>
    <t>Sabrina Turner</t>
  </si>
  <si>
    <t>Veronica Stevens</t>
  </si>
  <si>
    <t>Robert Barnes</t>
  </si>
  <si>
    <t>Christopher White</t>
  </si>
  <si>
    <t>Joshua Galvan</t>
  </si>
  <si>
    <t>Lindsey Simmons</t>
  </si>
  <si>
    <t>Lori Smith</t>
  </si>
  <si>
    <t>Margaret Walker</t>
  </si>
  <si>
    <t>Timothy Gibson</t>
  </si>
  <si>
    <t>Patricia Bridges</t>
  </si>
  <si>
    <t>Shelley Delacruz</t>
  </si>
  <si>
    <t>Ronnie Valdez</t>
  </si>
  <si>
    <t>Travis Howard</t>
  </si>
  <si>
    <t>Angela Mcdonald</t>
  </si>
  <si>
    <t>Nathan Beck</t>
  </si>
  <si>
    <t>Tiffany Perez</t>
  </si>
  <si>
    <t>Cody Ortiz</t>
  </si>
  <si>
    <t>Lindsey Mcdonald</t>
  </si>
  <si>
    <t>Jasmine Turner</t>
  </si>
  <si>
    <t>Elizabeth Valdez</t>
  </si>
  <si>
    <t>Paige Jones</t>
  </si>
  <si>
    <t>Natalie Curtis</t>
  </si>
  <si>
    <t>Cynthia Miller</t>
  </si>
  <si>
    <t>Brandon Wheeler</t>
  </si>
  <si>
    <t>Next Day Air</t>
  </si>
  <si>
    <t>Pamela Edwards</t>
  </si>
  <si>
    <t>James Beck</t>
  </si>
  <si>
    <t>Larry Davis</t>
  </si>
  <si>
    <t>Felicia Rodriguez</t>
  </si>
  <si>
    <t>Janet Wong</t>
  </si>
  <si>
    <t>Richard Fernandez</t>
  </si>
  <si>
    <t>Kelly Hurst</t>
  </si>
  <si>
    <t>Carla Whitney</t>
  </si>
  <si>
    <t>Frederick Cruz</t>
  </si>
  <si>
    <t>Catherine Daniels</t>
  </si>
  <si>
    <t>Joshua Huffman</t>
  </si>
  <si>
    <t>Mia Mills</t>
  </si>
  <si>
    <t>James Chavez</t>
  </si>
  <si>
    <t>Troy Green</t>
  </si>
  <si>
    <t>William Simpson</t>
  </si>
  <si>
    <t>Tonya Martin</t>
  </si>
  <si>
    <t>Michael Blair</t>
  </si>
  <si>
    <t>Robert Graham</t>
  </si>
  <si>
    <t>Jason Chavez</t>
  </si>
  <si>
    <t>Donna Kelly</t>
  </si>
  <si>
    <t>Ashley Banks</t>
  </si>
  <si>
    <t>Daniel Patterson</t>
  </si>
  <si>
    <t>Natalie Kelly</t>
  </si>
  <si>
    <t>Connie Rodriguez</t>
  </si>
  <si>
    <t>Charles Ramirez</t>
  </si>
  <si>
    <t>Steven Gonzalez</t>
  </si>
  <si>
    <t>Heather Nguyen</t>
  </si>
  <si>
    <t>Anthony Garcia</t>
  </si>
  <si>
    <t>Robert Morse</t>
  </si>
  <si>
    <t>Daniel Powell</t>
  </si>
  <si>
    <t>Jesse Riley</t>
  </si>
  <si>
    <t>George Mccall</t>
  </si>
  <si>
    <t>Jorge Coffey MD</t>
  </si>
  <si>
    <t>Tiffany Sampson</t>
  </si>
  <si>
    <t>Jeffrey Thompson</t>
  </si>
  <si>
    <t>Andrea Salazar</t>
  </si>
  <si>
    <t>Maria Allen</t>
  </si>
  <si>
    <t>Michele Goodwin</t>
  </si>
  <si>
    <t>Jeremiah Garcia</t>
  </si>
  <si>
    <t>Felicia Davila</t>
  </si>
  <si>
    <t>Ashley Miranda</t>
  </si>
  <si>
    <t>Brian Stevenson</t>
  </si>
  <si>
    <t>Kristen Quinn</t>
  </si>
  <si>
    <t>Brianna Bowman</t>
  </si>
  <si>
    <t>Leroy Armstrong</t>
  </si>
  <si>
    <t>Dr. Keith Harris</t>
  </si>
  <si>
    <t>Jacob Dunn Jr.</t>
  </si>
  <si>
    <t>Amy Brewer</t>
  </si>
  <si>
    <t>Thomas Horn</t>
  </si>
  <si>
    <t>Angel Morrow</t>
  </si>
  <si>
    <t>Joanna Shields</t>
  </si>
  <si>
    <t>Matthew Martinez</t>
  </si>
  <si>
    <t>Carrie Montgomery</t>
  </si>
  <si>
    <t>Lisa Clark</t>
  </si>
  <si>
    <t>Tiffany Jarvis</t>
  </si>
  <si>
    <t>Robert Ayers</t>
  </si>
  <si>
    <t>Tonya Rodriguez</t>
  </si>
  <si>
    <t>Jasmine Ramsey</t>
  </si>
  <si>
    <t>Glenn Griffith</t>
  </si>
  <si>
    <t>Megan Strickland</t>
  </si>
  <si>
    <t>Robert Russell</t>
  </si>
  <si>
    <t>Sierra Cook</t>
  </si>
  <si>
    <t>Megan Schultz</t>
  </si>
  <si>
    <t>Teresa Moore</t>
  </si>
  <si>
    <t>Paul Bright</t>
  </si>
  <si>
    <t>Joseph Duke</t>
  </si>
  <si>
    <t>Heather Miller</t>
  </si>
  <si>
    <t>Ronald Miller</t>
  </si>
  <si>
    <t>John Lloyd</t>
  </si>
  <si>
    <t>Lynn Barker</t>
  </si>
  <si>
    <t>Angela King</t>
  </si>
  <si>
    <t>Jake Calderon</t>
  </si>
  <si>
    <t>Amanda Taylor</t>
  </si>
  <si>
    <t>Mike Smith</t>
  </si>
  <si>
    <t>Natalie Warner</t>
  </si>
  <si>
    <t>Amanda Garcia</t>
  </si>
  <si>
    <t>Tyler Sandoval</t>
  </si>
  <si>
    <t>Antonio Thompson</t>
  </si>
  <si>
    <t>Brian White</t>
  </si>
  <si>
    <t>Jessica Stewart</t>
  </si>
  <si>
    <t>William Thompson</t>
  </si>
  <si>
    <t>Julie Jennings</t>
  </si>
  <si>
    <t>Gregory Townsend</t>
  </si>
  <si>
    <t>Shawn Martin</t>
  </si>
  <si>
    <t>Melissa Cole</t>
  </si>
  <si>
    <t>Kevin Miller</t>
  </si>
  <si>
    <t>Maria Jones</t>
  </si>
  <si>
    <t>Yesenia Harris</t>
  </si>
  <si>
    <t>Kathy Conway</t>
  </si>
  <si>
    <t>Ruth Simmons</t>
  </si>
  <si>
    <t>Penny Thomas</t>
  </si>
  <si>
    <t>Bridget Schwartz</t>
  </si>
  <si>
    <t>Kevin Morrison</t>
  </si>
  <si>
    <t>Richard Colon</t>
  </si>
  <si>
    <t>Victoria Roy</t>
  </si>
  <si>
    <t>Jamie Campbell</t>
  </si>
  <si>
    <t>Kimberly Rodriguez</t>
  </si>
  <si>
    <t>Christopher Watts</t>
  </si>
  <si>
    <t>Kristin Olson</t>
  </si>
  <si>
    <t>Nicole Jackson</t>
  </si>
  <si>
    <t>Sheila Davis</t>
  </si>
  <si>
    <t>Austin Taylor</t>
  </si>
  <si>
    <t>Scott Wilson</t>
  </si>
  <si>
    <t>Jessica Riley</t>
  </si>
  <si>
    <t>Sara White</t>
  </si>
  <si>
    <t>Matthew Krause</t>
  </si>
  <si>
    <t>Timothy Davis</t>
  </si>
  <si>
    <t>Laura Johnson</t>
  </si>
  <si>
    <t>Christine Gilbert</t>
  </si>
  <si>
    <t>Michael Snow</t>
  </si>
  <si>
    <t>Sarah Cherry</t>
  </si>
  <si>
    <t>Mathew Jordan</t>
  </si>
  <si>
    <t>Gwendolyn Williams</t>
  </si>
  <si>
    <t>Barry Long</t>
  </si>
  <si>
    <t>Amber Stokes</t>
  </si>
  <si>
    <t>Nicholas Compton</t>
  </si>
  <si>
    <t>Mary Costa</t>
  </si>
  <si>
    <t>Row Labels</t>
  </si>
  <si>
    <t>Grand Total</t>
  </si>
  <si>
    <t>Sum of Purchase Amount</t>
  </si>
  <si>
    <t>(All)</t>
  </si>
  <si>
    <t>2023</t>
  </si>
  <si>
    <t>Qtr2</t>
  </si>
  <si>
    <t>Jun</t>
  </si>
  <si>
    <t>Qtr3</t>
  </si>
  <si>
    <t>Qtr4</t>
  </si>
  <si>
    <t>2024</t>
  </si>
  <si>
    <t>Qtr1</t>
  </si>
  <si>
    <t>Apr</t>
  </si>
  <si>
    <t>May</t>
  </si>
  <si>
    <t>2025</t>
  </si>
  <si>
    <t xml:space="preserve">Company Name </t>
  </si>
  <si>
    <t>Total Purchaes</t>
  </si>
  <si>
    <t>Average Order</t>
  </si>
  <si>
    <t>Total Orders</t>
  </si>
  <si>
    <t>Details for Sum of Purchase Amount - Category: Accessories, Season: Winter, Gender: Female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</si>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</sst>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_(* #,##0_);_(* \(#,##0\);_(* &quot;-&quot;??_);_(@_)"/>
  </numFmts>
  <fonts count="6" x14ac:knownFonts="1">
    <font>
      <sz val="11"/>
      <color theme="1"/>
      <name val="Calibri"/>
      <family val="2"/>
      <scheme val="minor"/>
    </font>
    <font>
      <sz val="11"/>
      <color theme="1"/>
      <name val="Calibri"/>
      <family val="2"/>
      <scheme val="minor"/>
    </font>
    <font>
      <b/>
      <sz val="48"/>
      <color theme="1"/>
      <name val="Calibri"/>
      <family val="2"/>
      <scheme val="minor"/>
    </font>
    <font>
      <b/>
      <sz val="18"/>
      <color theme="0"/>
      <name val="Calibri"/>
      <family val="2"/>
      <scheme val="minor"/>
    </font>
    <font>
      <sz val="18"/>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164" fontId="0" fillId="0" borderId="0" xfId="1" applyNumberFormat="1" applyFont="1"/>
    <xf numFmtId="0" fontId="0" fillId="0" borderId="1" xfId="0" applyBorder="1"/>
    <xf numFmtId="14" fontId="0" fillId="0" borderId="0" xfId="0" applyNumberFormat="1"/>
    <xf numFmtId="0" fontId="0" fillId="0" borderId="2" xfId="0" applyBorder="1"/>
    <xf numFmtId="14" fontId="0" fillId="0" borderId="3" xfId="0" applyNumberFormat="1" applyBorder="1"/>
    <xf numFmtId="0" fontId="0" fillId="0" borderId="4" xfId="0" applyBorder="1"/>
    <xf numFmtId="0" fontId="0" fillId="0" borderId="5" xfId="0" applyBorder="1"/>
    <xf numFmtId="14" fontId="0" fillId="0" borderId="6" xfId="0" applyNumberFormat="1" applyBorder="1"/>
    <xf numFmtId="0" fontId="0" fillId="0" borderId="7" xfId="0" applyBorder="1"/>
    <xf numFmtId="0" fontId="0" fillId="0" borderId="8" xfId="0" applyBorder="1"/>
    <xf numFmtId="14" fontId="0" fillId="0" borderId="9" xfId="0" applyNumberFormat="1" applyBorder="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0" fillId="0" borderId="0" xfId="0" applyAlignment="1">
      <alignment horizontal="left" indent="1"/>
    </xf>
    <xf numFmtId="14" fontId="0" fillId="0" borderId="0" xfId="0" applyNumberFormat="1" applyAlignment="1">
      <alignment horizontal="left" indent="2"/>
    </xf>
    <xf numFmtId="0" fontId="3" fillId="2" borderId="0" xfId="0" applyFont="1" applyFill="1" applyAlignment="1">
      <alignment vertical="center"/>
    </xf>
    <xf numFmtId="0" fontId="4" fillId="3" borderId="0" xfId="0" applyFont="1" applyFill="1" applyAlignment="1">
      <alignment vertical="center"/>
    </xf>
    <xf numFmtId="0" fontId="4" fillId="0" borderId="0" xfId="0" applyFont="1" applyAlignment="1">
      <alignment vertical="center"/>
    </xf>
    <xf numFmtId="44" fontId="4" fillId="3" borderId="0" xfId="2" applyFont="1" applyFill="1" applyAlignment="1">
      <alignment vertical="center"/>
    </xf>
    <xf numFmtId="0" fontId="2" fillId="0" borderId="0" xfId="0" applyFont="1" applyAlignment="1">
      <alignment horizontal="center" vertical="center"/>
    </xf>
    <xf numFmtId="0" fontId="0" fillId="0" borderId="0" xfId="0" applyNumberFormat="1"/>
    <xf numFmtId="0" fontId="5" fillId="0" borderId="0" xfId="0" applyFont="1"/>
  </cellXfs>
  <cellStyles count="3">
    <cellStyle name="Comma" xfId="1" builtinId="3"/>
    <cellStyle name="Currency" xfId="2" builtinId="4"/>
    <cellStyle name="Normal" xfId="0" builtinId="0"/>
  </cellStyles>
  <dxfs count="21">
    <dxf>
      <numFmt numFmtId="19" formatCode="m/d/yyyy"/>
    </dxf>
    <dxf>
      <numFmt numFmtId="19"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alignment horizontal="right" readingOrder="0"/>
    </dxf>
    <dxf>
      <alignment horizontal="center" readingOrder="0"/>
    </dxf>
    <dxf>
      <alignment horizontal="center" readingOrder="0"/>
    </dxf>
    <dxf>
      <alignment horizontal="center" readingOrder="0"/>
    </dxf>
    <dxf>
      <fill>
        <patternFill>
          <bgColor theme="4"/>
        </patternFill>
      </fill>
    </dxf>
  </dxfs>
  <tableStyles count="1" defaultTableStyle="TableStyleMedium2" defaultPivotStyle="PivotStyleLight16">
    <tableStyle name="Slicer Style 1" pivot="0" table="0" count="1" xr9:uid="{00000000-0011-0000-FFFF-FFFF00000000}">
      <tableStyleElement type="wholeTable" dxfId="2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Tables_Solution.xlsx]Sheet1!Seasons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Sheet1!$A$4:$A$23</c:f>
              <c:multiLvlStrCache>
                <c:ptCount val="13"/>
                <c:lvl>
                  <c:pt idx="0">
                    <c:v>Jun</c:v>
                  </c:pt>
                  <c:pt idx="4">
                    <c:v>Apr</c:v>
                  </c:pt>
                  <c:pt idx="5">
                    <c:v>May</c:v>
                  </c:pt>
                  <c:pt idx="6">
                    <c:v>Jun</c:v>
                  </c:pt>
                  <c:pt idx="10">
                    <c:v>Apr</c:v>
                  </c:pt>
                  <c:pt idx="11">
                    <c:v>May</c:v>
                  </c:pt>
                  <c:pt idx="12">
                    <c:v>Jun</c:v>
                  </c:pt>
                </c:lvl>
                <c:lvl>
                  <c:pt idx="0">
                    <c:v>Qtr2</c:v>
                  </c:pt>
                  <c:pt idx="1">
                    <c:v>Qtr3</c:v>
                  </c:pt>
                  <c:pt idx="2">
                    <c:v>Qtr4</c:v>
                  </c:pt>
                  <c:pt idx="3">
                    <c:v>Qtr1</c:v>
                  </c:pt>
                  <c:pt idx="4">
                    <c:v>Qtr2</c:v>
                  </c:pt>
                  <c:pt idx="7">
                    <c:v>Qtr3</c:v>
                  </c:pt>
                  <c:pt idx="8">
                    <c:v>Qtr4</c:v>
                  </c:pt>
                  <c:pt idx="9">
                    <c:v>Qtr1</c:v>
                  </c:pt>
                  <c:pt idx="10">
                    <c:v>Qtr2</c:v>
                  </c:pt>
                </c:lvl>
                <c:lvl>
                  <c:pt idx="0">
                    <c:v>2023</c:v>
                  </c:pt>
                  <c:pt idx="3">
                    <c:v>2024</c:v>
                  </c:pt>
                  <c:pt idx="9">
                    <c:v>2025</c:v>
                  </c:pt>
                </c:lvl>
              </c:multiLvlStrCache>
            </c:multiLvlStrRef>
          </c:cat>
          <c:val>
            <c:numRef>
              <c:f>Sheet1!$B$4:$B$23</c:f>
              <c:numCache>
                <c:formatCode>General</c:formatCode>
                <c:ptCount val="13"/>
                <c:pt idx="0">
                  <c:v>2727.46</c:v>
                </c:pt>
                <c:pt idx="1">
                  <c:v>42222.380000000012</c:v>
                </c:pt>
                <c:pt idx="2">
                  <c:v>31102.159999999996</c:v>
                </c:pt>
                <c:pt idx="3">
                  <c:v>32928.400000000001</c:v>
                </c:pt>
                <c:pt idx="4">
                  <c:v>12924.689999999999</c:v>
                </c:pt>
                <c:pt idx="5">
                  <c:v>13805.24</c:v>
                </c:pt>
                <c:pt idx="6">
                  <c:v>12003.13</c:v>
                </c:pt>
                <c:pt idx="7">
                  <c:v>38118.099999999991</c:v>
                </c:pt>
                <c:pt idx="8">
                  <c:v>48847.590000000004</c:v>
                </c:pt>
                <c:pt idx="9">
                  <c:v>47270.009999999995</c:v>
                </c:pt>
                <c:pt idx="10">
                  <c:v>6351.8</c:v>
                </c:pt>
                <c:pt idx="11">
                  <c:v>12986.84</c:v>
                </c:pt>
                <c:pt idx="12">
                  <c:v>4407.37</c:v>
                </c:pt>
              </c:numCache>
            </c:numRef>
          </c:val>
          <c:smooth val="0"/>
          <c:extLst>
            <c:ext xmlns:c16="http://schemas.microsoft.com/office/drawing/2014/chart" uri="{C3380CC4-5D6E-409C-BE32-E72D297353CC}">
              <c16:uniqueId val="{00000000-513C-48E9-A189-022A01BB69BE}"/>
            </c:ext>
          </c:extLst>
        </c:ser>
        <c:dLbls>
          <c:showLegendKey val="0"/>
          <c:showVal val="0"/>
          <c:showCatName val="0"/>
          <c:showSerName val="0"/>
          <c:showPercent val="0"/>
          <c:showBubbleSize val="0"/>
        </c:dLbls>
        <c:smooth val="0"/>
        <c:axId val="2138702368"/>
        <c:axId val="2138703616"/>
      </c:lineChart>
      <c:catAx>
        <c:axId val="213870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703616"/>
        <c:crosses val="autoZero"/>
        <c:auto val="1"/>
        <c:lblAlgn val="ctr"/>
        <c:lblOffset val="100"/>
        <c:noMultiLvlLbl val="0"/>
      </c:catAx>
      <c:valAx>
        <c:axId val="213870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7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Tables_Solution.xlsx]Sheet3!States</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Sheet3!$B$4:$B$14</c:f>
              <c:numCache>
                <c:formatCode>General</c:formatCode>
                <c:ptCount val="10"/>
                <c:pt idx="0">
                  <c:v>44929.48</c:v>
                </c:pt>
                <c:pt idx="1">
                  <c:v>30738.199999999997</c:v>
                </c:pt>
                <c:pt idx="2">
                  <c:v>34160.400000000001</c:v>
                </c:pt>
                <c:pt idx="3">
                  <c:v>33079.549999999996</c:v>
                </c:pt>
                <c:pt idx="4">
                  <c:v>23699.229999999996</c:v>
                </c:pt>
                <c:pt idx="5">
                  <c:v>31934.23</c:v>
                </c:pt>
                <c:pt idx="6">
                  <c:v>27132.020000000004</c:v>
                </c:pt>
                <c:pt idx="7">
                  <c:v>29571.869999999988</c:v>
                </c:pt>
                <c:pt idx="8">
                  <c:v>25618.170000000006</c:v>
                </c:pt>
                <c:pt idx="9">
                  <c:v>24832.020000000008</c:v>
                </c:pt>
              </c:numCache>
            </c:numRef>
          </c:val>
          <c:extLst>
            <c:ext xmlns:c16="http://schemas.microsoft.com/office/drawing/2014/chart" uri="{C3380CC4-5D6E-409C-BE32-E72D297353CC}">
              <c16:uniqueId val="{00000000-3E14-4FA1-87B6-EC7FD9DA6578}"/>
            </c:ext>
          </c:extLst>
        </c:ser>
        <c:dLbls>
          <c:showLegendKey val="0"/>
          <c:showVal val="0"/>
          <c:showCatName val="0"/>
          <c:showSerName val="0"/>
          <c:showPercent val="0"/>
          <c:showBubbleSize val="0"/>
        </c:dLbls>
        <c:gapWidth val="219"/>
        <c:overlap val="-27"/>
        <c:axId val="739156080"/>
        <c:axId val="223456560"/>
      </c:barChart>
      <c:catAx>
        <c:axId val="7391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56560"/>
        <c:crosses val="autoZero"/>
        <c:auto val="1"/>
        <c:lblAlgn val="ctr"/>
        <c:lblOffset val="100"/>
        <c:noMultiLvlLbl val="0"/>
      </c:catAx>
      <c:valAx>
        <c:axId val="22345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1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Tables_Solution.xlsx]Sheet4!Category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E5-46D6-86F3-CFBF00E170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E5-46D6-86F3-CFBF00E170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E5-46D6-86F3-CFBF00E170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Accessories</c:v>
                </c:pt>
                <c:pt idx="1">
                  <c:v>Electronics</c:v>
                </c:pt>
                <c:pt idx="2">
                  <c:v>Home Office</c:v>
                </c:pt>
              </c:strCache>
            </c:strRef>
          </c:cat>
          <c:val>
            <c:numRef>
              <c:f>Sheet4!$B$4:$B$7</c:f>
              <c:numCache>
                <c:formatCode>General</c:formatCode>
                <c:ptCount val="3"/>
                <c:pt idx="0">
                  <c:v>95228.790000000023</c:v>
                </c:pt>
                <c:pt idx="1">
                  <c:v>150907.24000000002</c:v>
                </c:pt>
                <c:pt idx="2">
                  <c:v>59559.140000000007</c:v>
                </c:pt>
              </c:numCache>
            </c:numRef>
          </c:val>
          <c:extLst>
            <c:ext xmlns:c16="http://schemas.microsoft.com/office/drawing/2014/chart" uri="{C3380CC4-5D6E-409C-BE32-E72D297353CC}">
              <c16:uniqueId val="{00000000-8D6B-4DED-8A10-76002D3725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Tables_Solution.xlsx]Sheet4!Shipping</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Sheet4!$B$20</c:f>
              <c:strCache>
                <c:ptCount val="1"/>
                <c:pt idx="0">
                  <c:v>Total</c:v>
                </c:pt>
              </c:strCache>
            </c:strRef>
          </c:tx>
          <c:spPr>
            <a:solidFill>
              <a:schemeClr val="accent1"/>
            </a:solidFill>
            <a:ln>
              <a:noFill/>
            </a:ln>
            <a:effectLst/>
          </c:spPr>
          <c:invertIfNegative val="0"/>
          <c:cat>
            <c:strRef>
              <c:f>Sheet4!$A$21:$A$27</c:f>
              <c:strCache>
                <c:ptCount val="6"/>
                <c:pt idx="0">
                  <c:v>Free Shipping</c:v>
                </c:pt>
                <c:pt idx="1">
                  <c:v>Three-Day Shipping</c:v>
                </c:pt>
                <c:pt idx="2">
                  <c:v>Next Day Air</c:v>
                </c:pt>
                <c:pt idx="3">
                  <c:v>Overnight</c:v>
                </c:pt>
                <c:pt idx="4">
                  <c:v>Same-Day Delivery</c:v>
                </c:pt>
                <c:pt idx="5">
                  <c:v>Standard</c:v>
                </c:pt>
              </c:strCache>
            </c:strRef>
          </c:cat>
          <c:val>
            <c:numRef>
              <c:f>Sheet4!$B$21:$B$27</c:f>
              <c:numCache>
                <c:formatCode>General</c:formatCode>
                <c:ptCount val="6"/>
                <c:pt idx="0">
                  <c:v>16646.310000000001</c:v>
                </c:pt>
                <c:pt idx="1">
                  <c:v>23273.219999999998</c:v>
                </c:pt>
                <c:pt idx="2">
                  <c:v>25128.650000000005</c:v>
                </c:pt>
                <c:pt idx="3">
                  <c:v>71711.380000000019</c:v>
                </c:pt>
                <c:pt idx="4">
                  <c:v>73603.840000000011</c:v>
                </c:pt>
                <c:pt idx="5">
                  <c:v>95331.76999999999</c:v>
                </c:pt>
              </c:numCache>
            </c:numRef>
          </c:val>
          <c:extLst>
            <c:ext xmlns:c16="http://schemas.microsoft.com/office/drawing/2014/chart" uri="{C3380CC4-5D6E-409C-BE32-E72D297353CC}">
              <c16:uniqueId val="{00000000-224F-4DC5-954B-D9EBC458FA4F}"/>
            </c:ext>
          </c:extLst>
        </c:ser>
        <c:dLbls>
          <c:showLegendKey val="0"/>
          <c:showVal val="0"/>
          <c:showCatName val="0"/>
          <c:showSerName val="0"/>
          <c:showPercent val="0"/>
          <c:showBubbleSize val="0"/>
        </c:dLbls>
        <c:gapWidth val="219"/>
        <c:overlap val="-27"/>
        <c:axId val="251482783"/>
        <c:axId val="251477375"/>
      </c:barChart>
      <c:catAx>
        <c:axId val="2514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477375"/>
        <c:crosses val="autoZero"/>
        <c:auto val="1"/>
        <c:lblAlgn val="ctr"/>
        <c:lblOffset val="100"/>
        <c:noMultiLvlLbl val="0"/>
      </c:catAx>
      <c:valAx>
        <c:axId val="25147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48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Tables_Solution.xlsx]Sheet2!Category,Season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C1-46FF-9073-4F0AF7ACE1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C1-46FF-9073-4F0AF7ACE1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C1-46FF-9073-4F0AF7ACE1C2}"/>
              </c:ext>
            </c:extLst>
          </c:dPt>
          <c:cat>
            <c:strRef>
              <c:f>Sheet2!$A$5:$A$8</c:f>
              <c:strCache>
                <c:ptCount val="3"/>
                <c:pt idx="0">
                  <c:v>Accessories</c:v>
                </c:pt>
                <c:pt idx="1">
                  <c:v>Electronics</c:v>
                </c:pt>
                <c:pt idx="2">
                  <c:v>Home Office</c:v>
                </c:pt>
              </c:strCache>
            </c:strRef>
          </c:cat>
          <c:val>
            <c:numRef>
              <c:f>Sheet2!$B$5:$B$8</c:f>
              <c:numCache>
                <c:formatCode>General</c:formatCode>
                <c:ptCount val="3"/>
                <c:pt idx="0">
                  <c:v>95228.790000000023</c:v>
                </c:pt>
                <c:pt idx="1">
                  <c:v>150907.24000000002</c:v>
                </c:pt>
                <c:pt idx="2">
                  <c:v>59559.140000000007</c:v>
                </c:pt>
              </c:numCache>
            </c:numRef>
          </c:val>
          <c:extLst>
            <c:ext xmlns:c16="http://schemas.microsoft.com/office/drawing/2014/chart" uri="{C3380CC4-5D6E-409C-BE32-E72D297353CC}">
              <c16:uniqueId val="{00000000-DD08-423D-90B6-96897B5653A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Tables_Solution.xlsx]Sheet1!Seasons</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Sheet1!$A$4:$A$23</c:f>
              <c:multiLvlStrCache>
                <c:ptCount val="13"/>
                <c:lvl>
                  <c:pt idx="0">
                    <c:v>Jun</c:v>
                  </c:pt>
                  <c:pt idx="4">
                    <c:v>Apr</c:v>
                  </c:pt>
                  <c:pt idx="5">
                    <c:v>May</c:v>
                  </c:pt>
                  <c:pt idx="6">
                    <c:v>Jun</c:v>
                  </c:pt>
                  <c:pt idx="10">
                    <c:v>Apr</c:v>
                  </c:pt>
                  <c:pt idx="11">
                    <c:v>May</c:v>
                  </c:pt>
                  <c:pt idx="12">
                    <c:v>Jun</c:v>
                  </c:pt>
                </c:lvl>
                <c:lvl>
                  <c:pt idx="0">
                    <c:v>Qtr2</c:v>
                  </c:pt>
                  <c:pt idx="1">
                    <c:v>Qtr3</c:v>
                  </c:pt>
                  <c:pt idx="2">
                    <c:v>Qtr4</c:v>
                  </c:pt>
                  <c:pt idx="3">
                    <c:v>Qtr1</c:v>
                  </c:pt>
                  <c:pt idx="4">
                    <c:v>Qtr2</c:v>
                  </c:pt>
                  <c:pt idx="7">
                    <c:v>Qtr3</c:v>
                  </c:pt>
                  <c:pt idx="8">
                    <c:v>Qtr4</c:v>
                  </c:pt>
                  <c:pt idx="9">
                    <c:v>Qtr1</c:v>
                  </c:pt>
                  <c:pt idx="10">
                    <c:v>Qtr2</c:v>
                  </c:pt>
                </c:lvl>
                <c:lvl>
                  <c:pt idx="0">
                    <c:v>2023</c:v>
                  </c:pt>
                  <c:pt idx="3">
                    <c:v>2024</c:v>
                  </c:pt>
                  <c:pt idx="9">
                    <c:v>2025</c:v>
                  </c:pt>
                </c:lvl>
              </c:multiLvlStrCache>
            </c:multiLvlStrRef>
          </c:cat>
          <c:val>
            <c:numRef>
              <c:f>Sheet1!$B$4:$B$23</c:f>
              <c:numCache>
                <c:formatCode>General</c:formatCode>
                <c:ptCount val="13"/>
                <c:pt idx="0">
                  <c:v>2727.46</c:v>
                </c:pt>
                <c:pt idx="1">
                  <c:v>42222.380000000012</c:v>
                </c:pt>
                <c:pt idx="2">
                  <c:v>31102.159999999996</c:v>
                </c:pt>
                <c:pt idx="3">
                  <c:v>32928.400000000001</c:v>
                </c:pt>
                <c:pt idx="4">
                  <c:v>12924.689999999999</c:v>
                </c:pt>
                <c:pt idx="5">
                  <c:v>13805.24</c:v>
                </c:pt>
                <c:pt idx="6">
                  <c:v>12003.13</c:v>
                </c:pt>
                <c:pt idx="7">
                  <c:v>38118.099999999991</c:v>
                </c:pt>
                <c:pt idx="8">
                  <c:v>48847.590000000004</c:v>
                </c:pt>
                <c:pt idx="9">
                  <c:v>47270.009999999995</c:v>
                </c:pt>
                <c:pt idx="10">
                  <c:v>6351.8</c:v>
                </c:pt>
                <c:pt idx="11">
                  <c:v>12986.84</c:v>
                </c:pt>
                <c:pt idx="12">
                  <c:v>4407.37</c:v>
                </c:pt>
              </c:numCache>
            </c:numRef>
          </c:val>
          <c:smooth val="0"/>
          <c:extLst>
            <c:ext xmlns:c16="http://schemas.microsoft.com/office/drawing/2014/chart" uri="{C3380CC4-5D6E-409C-BE32-E72D297353CC}">
              <c16:uniqueId val="{00000000-54C7-4F13-8C42-B2671303014C}"/>
            </c:ext>
          </c:extLst>
        </c:ser>
        <c:dLbls>
          <c:showLegendKey val="0"/>
          <c:showVal val="0"/>
          <c:showCatName val="0"/>
          <c:showSerName val="0"/>
          <c:showPercent val="0"/>
          <c:showBubbleSize val="0"/>
        </c:dLbls>
        <c:smooth val="0"/>
        <c:axId val="2138702368"/>
        <c:axId val="2138703616"/>
      </c:lineChart>
      <c:catAx>
        <c:axId val="213870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703616"/>
        <c:crosses val="autoZero"/>
        <c:auto val="1"/>
        <c:lblAlgn val="ctr"/>
        <c:lblOffset val="100"/>
        <c:noMultiLvlLbl val="0"/>
      </c:catAx>
      <c:valAx>
        <c:axId val="213870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7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Tables_Solution.xlsx]Sheet4!Category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22-4774-955B-EDF3100B5D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22-4774-955B-EDF3100B5D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22-4774-955B-EDF3100B5D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Accessories</c:v>
                </c:pt>
                <c:pt idx="1">
                  <c:v>Electronics</c:v>
                </c:pt>
                <c:pt idx="2">
                  <c:v>Home Office</c:v>
                </c:pt>
              </c:strCache>
            </c:strRef>
          </c:cat>
          <c:val>
            <c:numRef>
              <c:f>Sheet4!$B$4:$B$7</c:f>
              <c:numCache>
                <c:formatCode>General</c:formatCode>
                <c:ptCount val="3"/>
                <c:pt idx="0">
                  <c:v>95228.790000000023</c:v>
                </c:pt>
                <c:pt idx="1">
                  <c:v>150907.24000000002</c:v>
                </c:pt>
                <c:pt idx="2">
                  <c:v>59559.140000000007</c:v>
                </c:pt>
              </c:numCache>
            </c:numRef>
          </c:val>
          <c:extLst>
            <c:ext xmlns:c16="http://schemas.microsoft.com/office/drawing/2014/chart" uri="{C3380CC4-5D6E-409C-BE32-E72D297353CC}">
              <c16:uniqueId val="{00000006-B522-4774-955B-EDF3100B5DD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Tables_Solution.xlsx]Sheet4!Shipping</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Shipping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Sheet4!$B$20</c:f>
              <c:strCache>
                <c:ptCount val="1"/>
                <c:pt idx="0">
                  <c:v>Total</c:v>
                </c:pt>
              </c:strCache>
            </c:strRef>
          </c:tx>
          <c:spPr>
            <a:solidFill>
              <a:schemeClr val="accent1"/>
            </a:solidFill>
            <a:ln>
              <a:noFill/>
            </a:ln>
            <a:effectLst/>
          </c:spPr>
          <c:invertIfNegative val="0"/>
          <c:cat>
            <c:strRef>
              <c:f>Sheet4!$A$21:$A$27</c:f>
              <c:strCache>
                <c:ptCount val="6"/>
                <c:pt idx="0">
                  <c:v>Free Shipping</c:v>
                </c:pt>
                <c:pt idx="1">
                  <c:v>Three-Day Shipping</c:v>
                </c:pt>
                <c:pt idx="2">
                  <c:v>Next Day Air</c:v>
                </c:pt>
                <c:pt idx="3">
                  <c:v>Overnight</c:v>
                </c:pt>
                <c:pt idx="4">
                  <c:v>Same-Day Delivery</c:v>
                </c:pt>
                <c:pt idx="5">
                  <c:v>Standard</c:v>
                </c:pt>
              </c:strCache>
            </c:strRef>
          </c:cat>
          <c:val>
            <c:numRef>
              <c:f>Sheet4!$B$21:$B$27</c:f>
              <c:numCache>
                <c:formatCode>General</c:formatCode>
                <c:ptCount val="6"/>
                <c:pt idx="0">
                  <c:v>16646.310000000001</c:v>
                </c:pt>
                <c:pt idx="1">
                  <c:v>23273.219999999998</c:v>
                </c:pt>
                <c:pt idx="2">
                  <c:v>25128.650000000005</c:v>
                </c:pt>
                <c:pt idx="3">
                  <c:v>71711.380000000019</c:v>
                </c:pt>
                <c:pt idx="4">
                  <c:v>73603.840000000011</c:v>
                </c:pt>
                <c:pt idx="5">
                  <c:v>95331.76999999999</c:v>
                </c:pt>
              </c:numCache>
            </c:numRef>
          </c:val>
          <c:extLst>
            <c:ext xmlns:c16="http://schemas.microsoft.com/office/drawing/2014/chart" uri="{C3380CC4-5D6E-409C-BE32-E72D297353CC}">
              <c16:uniqueId val="{00000000-F7A9-4B61-9057-93E1FBD4E9E7}"/>
            </c:ext>
          </c:extLst>
        </c:ser>
        <c:dLbls>
          <c:showLegendKey val="0"/>
          <c:showVal val="0"/>
          <c:showCatName val="0"/>
          <c:showSerName val="0"/>
          <c:showPercent val="0"/>
          <c:showBubbleSize val="0"/>
        </c:dLbls>
        <c:gapWidth val="219"/>
        <c:overlap val="-27"/>
        <c:axId val="251482783"/>
        <c:axId val="251477375"/>
      </c:barChart>
      <c:catAx>
        <c:axId val="25148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477375"/>
        <c:crosses val="autoZero"/>
        <c:auto val="1"/>
        <c:lblAlgn val="ctr"/>
        <c:lblOffset val="100"/>
        <c:noMultiLvlLbl val="0"/>
      </c:catAx>
      <c:valAx>
        <c:axId val="25147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482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[9-Pivot Tables_Solution.xlsx]Sheet3!States</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Sheet3!$A$4:$A$14</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Sheet3!$B$4:$B$14</c:f>
              <c:numCache>
                <c:formatCode>General</c:formatCode>
                <c:ptCount val="10"/>
                <c:pt idx="0">
                  <c:v>44929.48</c:v>
                </c:pt>
                <c:pt idx="1">
                  <c:v>30738.199999999997</c:v>
                </c:pt>
                <c:pt idx="2">
                  <c:v>34160.400000000001</c:v>
                </c:pt>
                <c:pt idx="3">
                  <c:v>33079.549999999996</c:v>
                </c:pt>
                <c:pt idx="4">
                  <c:v>23699.229999999996</c:v>
                </c:pt>
                <c:pt idx="5">
                  <c:v>31934.23</c:v>
                </c:pt>
                <c:pt idx="6">
                  <c:v>27132.020000000004</c:v>
                </c:pt>
                <c:pt idx="7">
                  <c:v>29571.869999999988</c:v>
                </c:pt>
                <c:pt idx="8">
                  <c:v>25618.170000000006</c:v>
                </c:pt>
                <c:pt idx="9">
                  <c:v>24832.020000000008</c:v>
                </c:pt>
              </c:numCache>
            </c:numRef>
          </c:val>
          <c:extLst>
            <c:ext xmlns:c16="http://schemas.microsoft.com/office/drawing/2014/chart" uri="{C3380CC4-5D6E-409C-BE32-E72D297353CC}">
              <c16:uniqueId val="{00000000-14C3-4F8F-870F-BE143B4D0F7D}"/>
            </c:ext>
          </c:extLst>
        </c:ser>
        <c:dLbls>
          <c:showLegendKey val="0"/>
          <c:showVal val="0"/>
          <c:showCatName val="0"/>
          <c:showSerName val="0"/>
          <c:showPercent val="0"/>
          <c:showBubbleSize val="0"/>
        </c:dLbls>
        <c:gapWidth val="219"/>
        <c:overlap val="-27"/>
        <c:axId val="739156080"/>
        <c:axId val="223456560"/>
      </c:barChart>
      <c:catAx>
        <c:axId val="73915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56560"/>
        <c:crosses val="autoZero"/>
        <c:auto val="1"/>
        <c:lblAlgn val="ctr"/>
        <c:lblOffset val="100"/>
        <c:noMultiLvlLbl val="0"/>
      </c:catAx>
      <c:valAx>
        <c:axId val="22345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15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347661</xdr:colOff>
      <xdr:row>2</xdr:row>
      <xdr:rowOff>133350</xdr:rowOff>
    </xdr:from>
    <xdr:to>
      <xdr:col>11</xdr:col>
      <xdr:colOff>533399</xdr:colOff>
      <xdr:row>17</xdr:row>
      <xdr:rowOff>19050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228600</xdr:colOff>
      <xdr:row>4</xdr:row>
      <xdr:rowOff>71437</xdr:rowOff>
    </xdr:from>
    <xdr:to>
      <xdr:col>11</xdr:col>
      <xdr:colOff>533400</xdr:colOff>
      <xdr:row>18</xdr:row>
      <xdr:rowOff>147637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300038</xdr:colOff>
      <xdr:row>0</xdr:row>
      <xdr:rowOff>38100</xdr:rowOff>
    </xdr:from>
    <xdr:to>
      <xdr:col>7</xdr:col>
      <xdr:colOff>466725</xdr:colOff>
      <xdr:row>11</xdr:row>
      <xdr:rowOff>47625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271462</xdr:colOff>
      <xdr:row>15</xdr:row>
      <xdr:rowOff>57150</xdr:rowOff>
    </xdr:from>
    <xdr:to>
      <xdr:col>8</xdr:col>
      <xdr:colOff>266700</xdr:colOff>
      <xdr:row>28</xdr:row>
      <xdr:rowOff>76200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0</xdr:row>
      <xdr:rowOff>66675</xdr:rowOff>
    </xdr:from>
    <xdr:to>
      <xdr:col>8</xdr:col>
      <xdr:colOff>295275</xdr:colOff>
      <xdr:row>13</xdr:row>
      <xdr:rowOff>9525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205469</xdr:colOff>
      <xdr:row>12</xdr:row>
      <xdr:rowOff>81643</xdr:rowOff>
    </xdr:from>
    <xdr:to>
      <xdr:col>9</xdr:col>
      <xdr:colOff>1</xdr:colOff>
      <xdr:row>22</xdr:row>
      <xdr:rowOff>129269</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700769</xdr:colOff>
      <xdr:row>11</xdr:row>
      <xdr:rowOff>148318</xdr:rowOff>
    </xdr:from>
    <xdr:to>
      <xdr:col>14</xdr:col>
      <xdr:colOff>23813</xdr:colOff>
      <xdr:row>22</xdr:row>
      <xdr:rowOff>157843</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204107</xdr:colOff>
      <xdr:row>23</xdr:row>
      <xdr:rowOff>122465</xdr:rowOff>
    </xdr:from>
    <xdr:to>
      <xdr:col>9</xdr:col>
      <xdr:colOff>183016</xdr:colOff>
      <xdr:row>36</xdr:row>
      <xdr:rowOff>141515</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585107</xdr:colOff>
      <xdr:row>23</xdr:row>
      <xdr:rowOff>54429</xdr:rowOff>
    </xdr:from>
    <xdr:to>
      <xdr:col>19</xdr:col>
      <xdr:colOff>68036</xdr:colOff>
      <xdr:row>36</xdr:row>
      <xdr:rowOff>81643</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262618</xdr:colOff>
      <xdr:row>7</xdr:row>
      <xdr:rowOff>141514</xdr:rowOff>
    </xdr:from>
    <xdr:to>
      <xdr:col>8</xdr:col>
      <xdr:colOff>503464</xdr:colOff>
      <xdr:row>11</xdr:row>
      <xdr:rowOff>68035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08907" y="1689327"/>
              <a:ext cx="4869401" cy="7004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87086</xdr:rowOff>
    </xdr:from>
    <xdr:to>
      <xdr:col>1</xdr:col>
      <xdr:colOff>291193</xdr:colOff>
      <xdr:row>23</xdr:row>
      <xdr:rowOff>108857</xdr:rowOff>
    </xdr:to>
    <mc:AlternateContent xmlns:mc="http://schemas.openxmlformats.org/markup-compatibility/2006" xmlns:a14="http://schemas.microsoft.com/office/drawing/2010/main">
      <mc:Choice Requires="a14">
        <xdr:graphicFrame macro="">
          <xdr:nvGraphicFramePr>
            <xdr:cNvPr id="7" name="Season">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0" y="3182711"/>
              <a:ext cx="1839006" cy="1569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31297</xdr:colOff>
      <xdr:row>9</xdr:row>
      <xdr:rowOff>87086</xdr:rowOff>
    </xdr:from>
    <xdr:to>
      <xdr:col>1</xdr:col>
      <xdr:colOff>322490</xdr:colOff>
      <xdr:row>14</xdr:row>
      <xdr:rowOff>136071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1297" y="2021852"/>
              <a:ext cx="1839006" cy="1016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an Elzeky" refreshedDate="46238.860603356479" createdVersion="6" refreshedVersion="6" minRefreshableVersion="3" recordCount="300" xr:uid="{00000000-000A-0000-FFFF-FFFF08000000}">
  <cacheSource type="worksheet">
    <worksheetSource name="Sales"/>
  </cacheSource>
  <cacheFields count="13">
    <cacheField name="Customer Name" numFmtId="0">
      <sharedItems/>
    </cacheField>
    <cacheField name="State" numFmtId="0">
      <sharedItems count="10">
        <s v="Florida"/>
        <s v="Michigan"/>
        <s v="Pennsylvania"/>
        <s v="Ohio"/>
        <s v="Georgia"/>
        <s v="California"/>
        <s v="Texas"/>
        <s v="Illinois"/>
        <s v="North Carolina"/>
        <s v="New York"/>
      </sharedItems>
    </cacheField>
    <cacheField name="Purchase Amount" numFmtId="0">
      <sharedItems containsSemiMixedTypes="0" containsString="0" containsNumber="1" minValue="24.27" maxValue="1997.36"/>
    </cacheField>
    <cacheField name="Item Purchased" numFmtId="0">
      <sharedItems/>
    </cacheField>
    <cacheField name="Shipping Type" numFmtId="0">
      <sharedItems count="6">
        <s v="Free Shipping"/>
        <s v="Overnight"/>
        <s v="Same-Day Delivery"/>
        <s v="Standard"/>
        <s v="Three-Day Shipping"/>
        <s v="Next Day Air"/>
      </sharedItems>
    </cacheField>
    <cacheField name="Category" numFmtId="0">
      <sharedItems count="3">
        <s v="Electronics"/>
        <s v="Accessories"/>
        <s v="Home Office"/>
      </sharedItems>
    </cacheField>
    <cacheField name="Season" numFmtId="0">
      <sharedItems count="4">
        <s v="Winter"/>
        <s v="Fall"/>
        <s v="Spring"/>
        <s v="Summer"/>
      </sharedItems>
    </cacheField>
    <cacheField name="Age" numFmtId="0">
      <sharedItems containsSemiMixedTypes="0" containsString="0" containsNumber="1" containsInteger="1" minValue="20" maxValue="60" count="40">
        <n v="35"/>
        <n v="47"/>
        <n v="58"/>
        <n v="48"/>
        <n v="37"/>
        <n v="26"/>
        <n v="49"/>
        <n v="60"/>
        <n v="22"/>
        <n v="44"/>
        <n v="33"/>
        <n v="40"/>
        <n v="45"/>
        <n v="51"/>
        <n v="23"/>
        <n v="24"/>
        <n v="20"/>
        <n v="27"/>
        <n v="52"/>
        <n v="32"/>
        <n v="54"/>
        <n v="36"/>
        <n v="39"/>
        <n v="55"/>
        <n v="34"/>
        <n v="56"/>
        <n v="41"/>
        <n v="46"/>
        <n v="57"/>
        <n v="31"/>
        <n v="38"/>
        <n v="59"/>
        <n v="21"/>
        <n v="30"/>
        <n v="25"/>
        <n v="29"/>
        <n v="53"/>
        <n v="42"/>
        <n v="43"/>
        <n v="28"/>
      </sharedItems>
    </cacheField>
    <cacheField name="Gender" numFmtId="0">
      <sharedItems count="2">
        <s v="Female"/>
        <s v="Male"/>
      </sharedItems>
    </cacheField>
    <cacheField name="Review Rating" numFmtId="0">
      <sharedItems containsSemiMixedTypes="0" containsString="0" containsNumber="1" containsInteger="1" minValue="1" maxValue="5"/>
    </cacheField>
    <cacheField name="Date" numFmtId="14">
      <sharedItems containsSemiMixedTypes="0" containsNonDate="0" containsDate="1" containsString="0" minDate="2023-06-26T00:00:00" maxDate="2025-06-11T00:00:00" count="239">
        <d v="2023-11-27T00:00:00"/>
        <d v="2025-02-17T00:00:00"/>
        <d v="2025-03-12T00:00:00"/>
        <d v="2024-03-29T00:00:00"/>
        <d v="2024-10-13T00:00:00"/>
        <d v="2023-08-18T00:00:00"/>
        <d v="2023-07-29T00:00:00"/>
        <d v="2025-04-24T00:00:00"/>
        <d v="2024-08-23T00:00:00"/>
        <d v="2024-12-08T00:00:00"/>
        <d v="2025-01-19T00:00:00"/>
        <d v="2023-09-16T00:00:00"/>
        <d v="2023-10-04T00:00:00"/>
        <d v="2024-10-01T00:00:00"/>
        <d v="2025-03-02T00:00:00"/>
        <d v="2023-08-29T00:00:00"/>
        <d v="2024-05-13T00:00:00"/>
        <d v="2023-08-02T00:00:00"/>
        <d v="2024-04-14T00:00:00"/>
        <d v="2025-01-09T00:00:00"/>
        <d v="2023-08-14T00:00:00"/>
        <d v="2025-03-31T00:00:00"/>
        <d v="2023-09-18T00:00:00"/>
        <d v="2024-03-07T00:00:00"/>
        <d v="2025-04-10T00:00:00"/>
        <d v="2025-03-27T00:00:00"/>
        <d v="2024-01-29T00:00:00"/>
        <d v="2025-05-18T00:00:00"/>
        <d v="2025-03-10T00:00:00"/>
        <d v="2024-10-15T00:00:00"/>
        <d v="2024-02-04T00:00:00"/>
        <d v="2024-06-07T00:00:00"/>
        <d v="2025-01-17T00:00:00"/>
        <d v="2024-04-19T00:00:00"/>
        <d v="2023-11-21T00:00:00"/>
        <d v="2024-11-10T00:00:00"/>
        <d v="2025-04-15T00:00:00"/>
        <d v="2023-09-06T00:00:00"/>
        <d v="2024-09-28T00:00:00"/>
        <d v="2024-10-30T00:00:00"/>
        <d v="2024-11-11T00:00:00"/>
        <d v="2023-08-24T00:00:00"/>
        <d v="2024-07-12T00:00:00"/>
        <d v="2024-04-28T00:00:00"/>
        <d v="2023-07-31T00:00:00"/>
        <d v="2024-08-31T00:00:00"/>
        <d v="2023-09-22T00:00:00"/>
        <d v="2024-01-18T00:00:00"/>
        <d v="2024-12-01T00:00:00"/>
        <d v="2024-10-06T00:00:00"/>
        <d v="2024-04-17T00:00:00"/>
        <d v="2023-10-09T00:00:00"/>
        <d v="2024-09-05T00:00:00"/>
        <d v="2024-02-27T00:00:00"/>
        <d v="2023-12-25T00:00:00"/>
        <d v="2023-07-07T00:00:00"/>
        <d v="2025-05-01T00:00:00"/>
        <d v="2023-06-29T00:00:00"/>
        <d v="2024-04-20T00:00:00"/>
        <d v="2024-09-01T00:00:00"/>
        <d v="2024-07-29T00:00:00"/>
        <d v="2025-02-23T00:00:00"/>
        <d v="2023-07-05T00:00:00"/>
        <d v="2024-02-13T00:00:00"/>
        <d v="2024-11-29T00:00:00"/>
        <d v="2025-04-30T00:00:00"/>
        <d v="2024-04-16T00:00:00"/>
        <d v="2024-08-06T00:00:00"/>
        <d v="2024-03-04T00:00:00"/>
        <d v="2024-08-26T00:00:00"/>
        <d v="2024-06-26T00:00:00"/>
        <d v="2024-03-27T00:00:00"/>
        <d v="2024-01-16T00:00:00"/>
        <d v="2024-03-15T00:00:00"/>
        <d v="2024-02-21T00:00:00"/>
        <d v="2023-11-12T00:00:00"/>
        <d v="2024-12-03T00:00:00"/>
        <d v="2024-01-31T00:00:00"/>
        <d v="2024-05-05T00:00:00"/>
        <d v="2024-06-14T00:00:00"/>
        <d v="2025-01-22T00:00:00"/>
        <d v="2024-05-14T00:00:00"/>
        <d v="2025-01-25T00:00:00"/>
        <d v="2024-12-19T00:00:00"/>
        <d v="2024-07-20T00:00:00"/>
        <d v="2024-11-12T00:00:00"/>
        <d v="2024-08-07T00:00:00"/>
        <d v="2024-02-18T00:00:00"/>
        <d v="2023-08-27T00:00:00"/>
        <d v="2025-02-03T00:00:00"/>
        <d v="2024-08-17T00:00:00"/>
        <d v="2023-10-22T00:00:00"/>
        <d v="2023-12-06T00:00:00"/>
        <d v="2024-09-24T00:00:00"/>
        <d v="2024-12-24T00:00:00"/>
        <d v="2024-09-17T00:00:00"/>
        <d v="2024-10-09T00:00:00"/>
        <d v="2025-05-07T00:00:00"/>
        <d v="2024-01-10T00:00:00"/>
        <d v="2024-01-13T00:00:00"/>
        <d v="2025-05-04T00:00:00"/>
        <d v="2023-07-15T00:00:00"/>
        <d v="2025-03-22T00:00:00"/>
        <d v="2025-05-27T00:00:00"/>
        <d v="2023-07-20T00:00:00"/>
        <d v="2023-12-29T00:00:00"/>
        <d v="2023-11-16T00:00:00"/>
        <d v="2024-10-11T00:00:00"/>
        <d v="2025-06-04T00:00:00"/>
        <d v="2025-02-27T00:00:00"/>
        <d v="2025-02-16T00:00:00"/>
        <d v="2024-04-02T00:00:00"/>
        <d v="2024-02-19T00:00:00"/>
        <d v="2024-11-30T00:00:00"/>
        <d v="2024-06-16T00:00:00"/>
        <d v="2023-10-06T00:00:00"/>
        <d v="2023-11-08T00:00:00"/>
        <d v="2025-05-19T00:00:00"/>
        <d v="2023-11-06T00:00:00"/>
        <d v="2025-02-28T00:00:00"/>
        <d v="2023-10-16T00:00:00"/>
        <d v="2024-03-08T00:00:00"/>
        <d v="2025-06-10T00:00:00"/>
        <d v="2023-11-22T00:00:00"/>
        <d v="2024-11-15T00:00:00"/>
        <d v="2025-02-19T00:00:00"/>
        <d v="2023-12-04T00:00:00"/>
        <d v="2023-10-26T00:00:00"/>
        <d v="2025-01-15T00:00:00"/>
        <d v="2024-07-13T00:00:00"/>
        <d v="2023-09-12T00:00:00"/>
        <d v="2024-11-05T00:00:00"/>
        <d v="2024-05-23T00:00:00"/>
        <d v="2023-12-09T00:00:00"/>
        <d v="2024-10-07T00:00:00"/>
        <d v="2025-03-18T00:00:00"/>
        <d v="2024-09-08T00:00:00"/>
        <d v="2025-02-18T00:00:00"/>
        <d v="2025-03-04T00:00:00"/>
        <d v="2024-02-24T00:00:00"/>
        <d v="2023-07-16T00:00:00"/>
        <d v="2025-02-11T00:00:00"/>
        <d v="2023-12-02T00:00:00"/>
        <d v="2024-12-20T00:00:00"/>
        <d v="2024-10-19T00:00:00"/>
        <d v="2024-11-23T00:00:00"/>
        <d v="2024-12-07T00:00:00"/>
        <d v="2023-09-07T00:00:00"/>
        <d v="2024-10-16T00:00:00"/>
        <d v="2025-01-04T00:00:00"/>
        <d v="2025-01-18T00:00:00"/>
        <d v="2024-09-12T00:00:00"/>
        <d v="2024-12-09T00:00:00"/>
        <d v="2024-08-04T00:00:00"/>
        <d v="2024-05-11T00:00:00"/>
        <d v="2023-10-07T00:00:00"/>
        <d v="2024-05-06T00:00:00"/>
        <d v="2024-06-20T00:00:00"/>
        <d v="2025-05-15T00:00:00"/>
        <d v="2023-11-18T00:00:00"/>
        <d v="2024-01-08T00:00:00"/>
        <d v="2024-10-22T00:00:00"/>
        <d v="2025-06-01T00:00:00"/>
        <d v="2024-12-29T00:00:00"/>
        <d v="2024-07-24T00:00:00"/>
        <d v="2025-05-31T00:00:00"/>
        <d v="2023-09-09T00:00:00"/>
        <d v="2025-05-10T00:00:00"/>
        <d v="2025-01-13T00:00:00"/>
        <d v="2023-07-22T00:00:00"/>
        <d v="2024-01-02T00:00:00"/>
        <d v="2024-01-14T00:00:00"/>
        <d v="2024-05-04T00:00:00"/>
        <d v="2024-07-27T00:00:00"/>
        <d v="2025-04-14T00:00:00"/>
        <d v="2024-05-18T00:00:00"/>
        <d v="2024-05-02T00:00:00"/>
        <d v="2023-12-30T00:00:00"/>
        <d v="2024-12-14T00:00:00"/>
        <d v="2024-09-07T00:00:00"/>
        <d v="2024-01-17T00:00:00"/>
        <d v="2023-11-24T00:00:00"/>
        <d v="2025-03-05T00:00:00"/>
        <d v="2023-09-27T00:00:00"/>
        <d v="2025-05-26T00:00:00"/>
        <d v="2025-04-18T00:00:00"/>
        <d v="2025-02-13T00:00:00"/>
        <d v="2024-10-10T00:00:00"/>
        <d v="2024-12-27T00:00:00"/>
        <d v="2025-03-28T00:00:00"/>
        <d v="2023-08-21T00:00:00"/>
        <d v="2025-04-22T00:00:00"/>
        <d v="2023-11-19T00:00:00"/>
        <d v="2024-07-07T00:00:00"/>
        <d v="2023-09-03T00:00:00"/>
        <d v="2024-12-30T00:00:00"/>
        <d v="2023-11-25T00:00:00"/>
        <d v="2024-06-25T00:00:00"/>
        <d v="2023-09-19T00:00:00"/>
        <d v="2024-08-14T00:00:00"/>
        <d v="2025-03-06T00:00:00"/>
        <d v="2023-12-19T00:00:00"/>
        <d v="2024-07-06T00:00:00"/>
        <d v="2024-07-31T00:00:00"/>
        <d v="2025-02-08T00:00:00"/>
        <d v="2024-08-09T00:00:00"/>
        <d v="2025-03-17T00:00:00"/>
        <d v="2024-12-22T00:00:00"/>
        <d v="2024-05-22T00:00:00"/>
        <d v="2024-02-12T00:00:00"/>
        <d v="2024-02-10T00:00:00"/>
        <d v="2024-04-18T00:00:00"/>
        <d v="2025-06-02T00:00:00"/>
        <d v="2025-03-19T00:00:00"/>
        <d v="2024-03-21T00:00:00"/>
        <d v="2025-02-22T00:00:00"/>
        <d v="2024-04-25T00:00:00"/>
        <d v="2023-10-02T00:00:00"/>
        <d v="2024-03-18T00:00:00"/>
        <d v="2024-06-24T00:00:00"/>
        <d v="2023-12-27T00:00:00"/>
        <d v="2024-07-14T00:00:00"/>
        <d v="2023-07-18T00:00:00"/>
        <d v="2024-07-01T00:00:00"/>
        <d v="2024-08-28T00:00:00"/>
        <d v="2025-05-30T00:00:00"/>
        <d v="2024-12-02T00:00:00"/>
        <d v="2023-12-21T00:00:00"/>
        <d v="2023-08-13T00:00:00"/>
        <d v="2023-06-26T00:00:00"/>
        <d v="2024-06-08T00:00:00"/>
        <d v="2024-06-22T00:00:00"/>
        <d v="2023-08-04T00:00:00"/>
        <d v="2024-10-26T00:00:00"/>
        <d v="2023-08-28T00:00:00"/>
        <d v="2023-09-24T00:00:00"/>
        <d v="2024-05-08T00:00:00"/>
        <d v="2023-07-09T00:00:00"/>
        <d v="2025-04-08T00:00:00"/>
      </sharedItems>
      <fieldGroup par="12" base="10">
        <rangePr groupBy="months" startDate="2023-06-26T00:00:00" endDate="2025-06-11T00:00:00"/>
        <groupItems count="14">
          <s v="&lt;6/26/2023"/>
          <s v="Jan"/>
          <s v="Feb"/>
          <s v="Mar"/>
          <s v="Apr"/>
          <s v="May"/>
          <s v="Jun"/>
          <s v="Jul"/>
          <s v="Aug"/>
          <s v="Sep"/>
          <s v="Oct"/>
          <s v="Nov"/>
          <s v="Dec"/>
          <s v="&gt;6/11/2025"/>
        </groupItems>
      </fieldGroup>
    </cacheField>
    <cacheField name="Quarters" numFmtId="0" databaseField="0">
      <fieldGroup base="10">
        <rangePr groupBy="quarters" startDate="2023-06-26T00:00:00" endDate="2025-06-11T00:00:00"/>
        <groupItems count="6">
          <s v="&lt;6/26/2023"/>
          <s v="Qtr1"/>
          <s v="Qtr2"/>
          <s v="Qtr3"/>
          <s v="Qtr4"/>
          <s v="&gt;6/11/2025"/>
        </groupItems>
      </fieldGroup>
    </cacheField>
    <cacheField name="Years" numFmtId="0" databaseField="0">
      <fieldGroup base="10">
        <rangePr groupBy="years" startDate="2023-06-26T00:00:00" endDate="2025-06-11T00:00:00"/>
        <groupItems count="5">
          <s v="&lt;6/26/2023"/>
          <s v="2023"/>
          <s v="2024"/>
          <s v="2025"/>
          <s v="&gt;6/11/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00">
  <r>
    <s v="Mandy Barber"/>
    <x v="0"/>
    <n v="348.25"/>
    <s v="Camera"/>
    <x v="0"/>
    <x v="0"/>
    <x v="0"/>
    <x v="0"/>
    <x v="0"/>
    <n v="5"/>
    <x v="0"/>
  </r>
  <r>
    <s v="Ryan May"/>
    <x v="1"/>
    <n v="1084.68"/>
    <s v="Mouse"/>
    <x v="1"/>
    <x v="1"/>
    <x v="1"/>
    <x v="1"/>
    <x v="1"/>
    <n v="5"/>
    <x v="1"/>
  </r>
  <r>
    <s v="Jennifer Baker"/>
    <x v="2"/>
    <n v="910.25"/>
    <s v="Headphones"/>
    <x v="1"/>
    <x v="1"/>
    <x v="2"/>
    <x v="2"/>
    <x v="0"/>
    <n v="5"/>
    <x v="2"/>
  </r>
  <r>
    <s v="Samuel Kerr"/>
    <x v="3"/>
    <n v="1391.1"/>
    <s v="Laptop"/>
    <x v="2"/>
    <x v="0"/>
    <x v="3"/>
    <x v="3"/>
    <x v="1"/>
    <n v="4"/>
    <x v="3"/>
  </r>
  <r>
    <s v="Ryan Hunter"/>
    <x v="4"/>
    <n v="129.24"/>
    <s v="Smartphone"/>
    <x v="0"/>
    <x v="0"/>
    <x v="1"/>
    <x v="4"/>
    <x v="1"/>
    <n v="5"/>
    <x v="4"/>
  </r>
  <r>
    <s v="Patricia Freeman"/>
    <x v="5"/>
    <n v="513.16999999999996"/>
    <s v="Keyboard"/>
    <x v="2"/>
    <x v="1"/>
    <x v="1"/>
    <x v="5"/>
    <x v="0"/>
    <n v="5"/>
    <x v="5"/>
  </r>
  <r>
    <s v="Gregory Rice"/>
    <x v="1"/>
    <n v="1847.98"/>
    <s v="Headphones"/>
    <x v="1"/>
    <x v="1"/>
    <x v="2"/>
    <x v="6"/>
    <x v="0"/>
    <n v="3"/>
    <x v="6"/>
  </r>
  <r>
    <s v="Jillian Ward"/>
    <x v="6"/>
    <n v="1122.79"/>
    <s v="Tablet"/>
    <x v="2"/>
    <x v="0"/>
    <x v="2"/>
    <x v="7"/>
    <x v="1"/>
    <n v="2"/>
    <x v="7"/>
  </r>
  <r>
    <s v="Oscar Bates"/>
    <x v="3"/>
    <n v="583.54999999999995"/>
    <s v="Smartwatch"/>
    <x v="1"/>
    <x v="0"/>
    <x v="0"/>
    <x v="8"/>
    <x v="1"/>
    <n v="2"/>
    <x v="8"/>
  </r>
  <r>
    <s v="Roger Robinson"/>
    <x v="1"/>
    <n v="524.09"/>
    <s v="Smartphone"/>
    <x v="3"/>
    <x v="0"/>
    <x v="2"/>
    <x v="9"/>
    <x v="0"/>
    <n v="1"/>
    <x v="9"/>
  </r>
  <r>
    <s v="Nichole Alvarado"/>
    <x v="6"/>
    <n v="1837.98"/>
    <s v="Monitor"/>
    <x v="1"/>
    <x v="2"/>
    <x v="0"/>
    <x v="10"/>
    <x v="0"/>
    <n v="2"/>
    <x v="10"/>
  </r>
  <r>
    <s v="Paige Baker"/>
    <x v="3"/>
    <n v="1535.3"/>
    <s v="Printer"/>
    <x v="2"/>
    <x v="2"/>
    <x v="3"/>
    <x v="0"/>
    <x v="0"/>
    <n v="1"/>
    <x v="11"/>
  </r>
  <r>
    <s v="Jaime Golden"/>
    <x v="5"/>
    <n v="1189.52"/>
    <s v="Smartphone"/>
    <x v="3"/>
    <x v="0"/>
    <x v="2"/>
    <x v="11"/>
    <x v="0"/>
    <n v="4"/>
    <x v="12"/>
  </r>
  <r>
    <s v="Christopher Holmes"/>
    <x v="7"/>
    <n v="1942.94"/>
    <s v="Mouse"/>
    <x v="3"/>
    <x v="1"/>
    <x v="1"/>
    <x v="12"/>
    <x v="0"/>
    <n v="4"/>
    <x v="13"/>
  </r>
  <r>
    <s v="Valerie Cummings"/>
    <x v="4"/>
    <n v="409.74"/>
    <s v="Tablet"/>
    <x v="3"/>
    <x v="0"/>
    <x v="1"/>
    <x v="13"/>
    <x v="0"/>
    <n v="1"/>
    <x v="14"/>
  </r>
  <r>
    <s v="Brenda Thompson"/>
    <x v="5"/>
    <n v="1354.43"/>
    <s v="Camera"/>
    <x v="1"/>
    <x v="0"/>
    <x v="0"/>
    <x v="0"/>
    <x v="0"/>
    <n v="2"/>
    <x v="15"/>
  </r>
  <r>
    <s v="Joseph Smith"/>
    <x v="4"/>
    <n v="1517.91"/>
    <s v="Tablet"/>
    <x v="0"/>
    <x v="0"/>
    <x v="1"/>
    <x v="12"/>
    <x v="1"/>
    <n v="2"/>
    <x v="16"/>
  </r>
  <r>
    <s v="Lori Carroll"/>
    <x v="5"/>
    <n v="1833.34"/>
    <s v="Keyboard"/>
    <x v="1"/>
    <x v="1"/>
    <x v="2"/>
    <x v="14"/>
    <x v="0"/>
    <n v="1"/>
    <x v="17"/>
  </r>
  <r>
    <s v="Dennis Horne Jr."/>
    <x v="4"/>
    <n v="1864.49"/>
    <s v="Tablet"/>
    <x v="1"/>
    <x v="0"/>
    <x v="3"/>
    <x v="15"/>
    <x v="1"/>
    <n v="2"/>
    <x v="18"/>
  </r>
  <r>
    <s v="Sharon Gonzalez"/>
    <x v="6"/>
    <n v="1353.58"/>
    <s v="Mouse"/>
    <x v="3"/>
    <x v="1"/>
    <x v="3"/>
    <x v="16"/>
    <x v="0"/>
    <n v="1"/>
    <x v="19"/>
  </r>
  <r>
    <s v="Jonathan Garrett"/>
    <x v="5"/>
    <n v="785.26"/>
    <s v="Camera"/>
    <x v="2"/>
    <x v="0"/>
    <x v="3"/>
    <x v="17"/>
    <x v="0"/>
    <n v="4"/>
    <x v="20"/>
  </r>
  <r>
    <s v="Kayla Harrell"/>
    <x v="4"/>
    <n v="1191.26"/>
    <s v="Mouse"/>
    <x v="3"/>
    <x v="1"/>
    <x v="3"/>
    <x v="18"/>
    <x v="0"/>
    <n v="2"/>
    <x v="21"/>
  </r>
  <r>
    <s v="Matthew Summers"/>
    <x v="8"/>
    <n v="1050.6600000000001"/>
    <s v="Keyboard"/>
    <x v="3"/>
    <x v="1"/>
    <x v="3"/>
    <x v="19"/>
    <x v="0"/>
    <n v="3"/>
    <x v="22"/>
  </r>
  <r>
    <s v="Rachael Jackson"/>
    <x v="8"/>
    <n v="195.97"/>
    <s v="Monitor"/>
    <x v="3"/>
    <x v="2"/>
    <x v="2"/>
    <x v="2"/>
    <x v="1"/>
    <n v="3"/>
    <x v="23"/>
  </r>
  <r>
    <s v="Angel Stein"/>
    <x v="5"/>
    <n v="1477.5"/>
    <s v="Printer"/>
    <x v="3"/>
    <x v="2"/>
    <x v="1"/>
    <x v="0"/>
    <x v="0"/>
    <n v="3"/>
    <x v="24"/>
  </r>
  <r>
    <s v="Susan Cox"/>
    <x v="4"/>
    <n v="767.77"/>
    <s v="Monitor"/>
    <x v="2"/>
    <x v="2"/>
    <x v="1"/>
    <x v="20"/>
    <x v="1"/>
    <n v="1"/>
    <x v="25"/>
  </r>
  <r>
    <s v="Julie Mitchell"/>
    <x v="0"/>
    <n v="1854.01"/>
    <s v="Tablet"/>
    <x v="1"/>
    <x v="0"/>
    <x v="0"/>
    <x v="21"/>
    <x v="1"/>
    <n v="1"/>
    <x v="26"/>
  </r>
  <r>
    <s v="Julia Odonnell"/>
    <x v="7"/>
    <n v="739.49"/>
    <s v="Camera"/>
    <x v="3"/>
    <x v="0"/>
    <x v="0"/>
    <x v="22"/>
    <x v="1"/>
    <n v="3"/>
    <x v="27"/>
  </r>
  <r>
    <s v="Richard Holland"/>
    <x v="9"/>
    <n v="1898.73"/>
    <s v="Keyboard"/>
    <x v="2"/>
    <x v="1"/>
    <x v="3"/>
    <x v="17"/>
    <x v="0"/>
    <n v="4"/>
    <x v="28"/>
  </r>
  <r>
    <s v="Jeffrey Woods"/>
    <x v="1"/>
    <n v="212.69"/>
    <s v="Mouse"/>
    <x v="3"/>
    <x v="1"/>
    <x v="1"/>
    <x v="23"/>
    <x v="0"/>
    <n v="3"/>
    <x v="29"/>
  </r>
  <r>
    <s v="Jonathan Luna"/>
    <x v="4"/>
    <n v="1065.47"/>
    <s v="Printer"/>
    <x v="1"/>
    <x v="2"/>
    <x v="3"/>
    <x v="24"/>
    <x v="0"/>
    <n v="4"/>
    <x v="30"/>
  </r>
  <r>
    <s v="Monica George"/>
    <x v="0"/>
    <n v="1232.77"/>
    <s v="Keyboard"/>
    <x v="2"/>
    <x v="1"/>
    <x v="2"/>
    <x v="0"/>
    <x v="1"/>
    <n v="3"/>
    <x v="31"/>
  </r>
  <r>
    <s v="Joshua Le MD"/>
    <x v="5"/>
    <n v="675.1"/>
    <s v="Camera"/>
    <x v="1"/>
    <x v="0"/>
    <x v="3"/>
    <x v="25"/>
    <x v="0"/>
    <n v="2"/>
    <x v="32"/>
  </r>
  <r>
    <s v="Kyle Morgan"/>
    <x v="1"/>
    <n v="508.48"/>
    <s v="Tablet"/>
    <x v="1"/>
    <x v="0"/>
    <x v="3"/>
    <x v="5"/>
    <x v="0"/>
    <n v="4"/>
    <x v="33"/>
  </r>
  <r>
    <s v="Andrew Nunez"/>
    <x v="4"/>
    <n v="1877.32"/>
    <s v="Keyboard"/>
    <x v="0"/>
    <x v="1"/>
    <x v="0"/>
    <x v="6"/>
    <x v="1"/>
    <n v="2"/>
    <x v="34"/>
  </r>
  <r>
    <s v="Jordan Vasquez"/>
    <x v="3"/>
    <n v="905.81"/>
    <s v="Camera"/>
    <x v="3"/>
    <x v="0"/>
    <x v="1"/>
    <x v="26"/>
    <x v="1"/>
    <n v="5"/>
    <x v="35"/>
  </r>
  <r>
    <s v="Wendy Salazar"/>
    <x v="9"/>
    <n v="412.98"/>
    <s v="Keyboard"/>
    <x v="3"/>
    <x v="1"/>
    <x v="1"/>
    <x v="20"/>
    <x v="1"/>
    <n v="4"/>
    <x v="36"/>
  </r>
  <r>
    <s v="Patrick Lamb"/>
    <x v="5"/>
    <n v="181.16"/>
    <s v="Smartphone"/>
    <x v="3"/>
    <x v="0"/>
    <x v="1"/>
    <x v="0"/>
    <x v="0"/>
    <n v="5"/>
    <x v="37"/>
  </r>
  <r>
    <s v="Raymond Walker"/>
    <x v="6"/>
    <n v="290.37"/>
    <s v="Keyboard"/>
    <x v="3"/>
    <x v="1"/>
    <x v="3"/>
    <x v="14"/>
    <x v="1"/>
    <n v="4"/>
    <x v="38"/>
  </r>
  <r>
    <s v="Dennis Gates"/>
    <x v="5"/>
    <n v="1785.49"/>
    <s v="Smartwatch"/>
    <x v="2"/>
    <x v="0"/>
    <x v="1"/>
    <x v="27"/>
    <x v="1"/>
    <n v="3"/>
    <x v="39"/>
  </r>
  <r>
    <s v="Jason Hernandez"/>
    <x v="2"/>
    <n v="289.05"/>
    <s v="Laptop"/>
    <x v="3"/>
    <x v="0"/>
    <x v="2"/>
    <x v="9"/>
    <x v="0"/>
    <n v="1"/>
    <x v="40"/>
  </r>
  <r>
    <s v="Jennifer Hopkins"/>
    <x v="5"/>
    <n v="596.80999999999995"/>
    <s v="Smartphone"/>
    <x v="1"/>
    <x v="0"/>
    <x v="2"/>
    <x v="1"/>
    <x v="0"/>
    <n v="5"/>
    <x v="41"/>
  </r>
  <r>
    <s v="Danielle Bean"/>
    <x v="4"/>
    <n v="633.79"/>
    <s v="Tablet"/>
    <x v="2"/>
    <x v="0"/>
    <x v="3"/>
    <x v="10"/>
    <x v="0"/>
    <n v="4"/>
    <x v="42"/>
  </r>
  <r>
    <s v="Troy Garcia"/>
    <x v="8"/>
    <n v="1629.19"/>
    <s v="Camera"/>
    <x v="3"/>
    <x v="0"/>
    <x v="3"/>
    <x v="28"/>
    <x v="1"/>
    <n v="5"/>
    <x v="43"/>
  </r>
  <r>
    <s v="Kim Nichols"/>
    <x v="2"/>
    <n v="808.12"/>
    <s v="Mouse"/>
    <x v="3"/>
    <x v="1"/>
    <x v="1"/>
    <x v="29"/>
    <x v="1"/>
    <n v="3"/>
    <x v="44"/>
  </r>
  <r>
    <s v="Troy Webster"/>
    <x v="3"/>
    <n v="1315.12"/>
    <s v="Mouse"/>
    <x v="1"/>
    <x v="1"/>
    <x v="0"/>
    <x v="25"/>
    <x v="0"/>
    <n v="3"/>
    <x v="45"/>
  </r>
  <r>
    <s v="Breanna Mcgee"/>
    <x v="6"/>
    <n v="1941.62"/>
    <s v="Smartphone"/>
    <x v="1"/>
    <x v="0"/>
    <x v="0"/>
    <x v="28"/>
    <x v="0"/>
    <n v="4"/>
    <x v="46"/>
  </r>
  <r>
    <s v="Stephanie Baldwin"/>
    <x v="7"/>
    <n v="1760.25"/>
    <s v="Smartphone"/>
    <x v="4"/>
    <x v="0"/>
    <x v="2"/>
    <x v="0"/>
    <x v="1"/>
    <n v="2"/>
    <x v="47"/>
  </r>
  <r>
    <s v="Douglas Bailey"/>
    <x v="9"/>
    <n v="1947.78"/>
    <s v="Laptop"/>
    <x v="3"/>
    <x v="0"/>
    <x v="3"/>
    <x v="15"/>
    <x v="0"/>
    <n v="3"/>
    <x v="48"/>
  </r>
  <r>
    <s v="Diane Weaver"/>
    <x v="8"/>
    <n v="549.04999999999995"/>
    <s v="Smartwatch"/>
    <x v="3"/>
    <x v="0"/>
    <x v="3"/>
    <x v="18"/>
    <x v="0"/>
    <n v="4"/>
    <x v="49"/>
  </r>
  <r>
    <s v="Mark Campbell"/>
    <x v="7"/>
    <n v="1071.83"/>
    <s v="Monitor"/>
    <x v="3"/>
    <x v="2"/>
    <x v="3"/>
    <x v="30"/>
    <x v="1"/>
    <n v="3"/>
    <x v="50"/>
  </r>
  <r>
    <s v="David Riley"/>
    <x v="6"/>
    <n v="1424.22"/>
    <s v="Camera"/>
    <x v="3"/>
    <x v="0"/>
    <x v="0"/>
    <x v="23"/>
    <x v="0"/>
    <n v="4"/>
    <x v="51"/>
  </r>
  <r>
    <s v="Lindsay Scott"/>
    <x v="0"/>
    <n v="450.83"/>
    <s v="Tablet"/>
    <x v="1"/>
    <x v="0"/>
    <x v="2"/>
    <x v="5"/>
    <x v="0"/>
    <n v="3"/>
    <x v="52"/>
  </r>
  <r>
    <s v="Timothy Huerta"/>
    <x v="0"/>
    <n v="1498.15"/>
    <s v="Tablet"/>
    <x v="2"/>
    <x v="0"/>
    <x v="2"/>
    <x v="10"/>
    <x v="1"/>
    <n v="3"/>
    <x v="53"/>
  </r>
  <r>
    <s v="Charles Jackson"/>
    <x v="0"/>
    <n v="333.31"/>
    <s v="Headphones"/>
    <x v="1"/>
    <x v="1"/>
    <x v="2"/>
    <x v="21"/>
    <x v="0"/>
    <n v="2"/>
    <x v="54"/>
  </r>
  <r>
    <s v="Jacob Wilson"/>
    <x v="9"/>
    <n v="971.53"/>
    <s v="Laptop"/>
    <x v="3"/>
    <x v="0"/>
    <x v="3"/>
    <x v="8"/>
    <x v="0"/>
    <n v="4"/>
    <x v="55"/>
  </r>
  <r>
    <s v="Angela Jackson"/>
    <x v="8"/>
    <n v="1932.74"/>
    <s v="Laptop"/>
    <x v="2"/>
    <x v="0"/>
    <x v="1"/>
    <x v="23"/>
    <x v="0"/>
    <n v="4"/>
    <x v="56"/>
  </r>
  <r>
    <s v="Michael Williams"/>
    <x v="2"/>
    <n v="993.7"/>
    <s v="Smartphone"/>
    <x v="1"/>
    <x v="0"/>
    <x v="0"/>
    <x v="20"/>
    <x v="0"/>
    <n v="4"/>
    <x v="57"/>
  </r>
  <r>
    <s v="Stacey Boyd"/>
    <x v="9"/>
    <n v="223.08"/>
    <s v="Camera"/>
    <x v="4"/>
    <x v="0"/>
    <x v="2"/>
    <x v="1"/>
    <x v="0"/>
    <n v="4"/>
    <x v="58"/>
  </r>
  <r>
    <s v="Holly Miles"/>
    <x v="3"/>
    <n v="1997.36"/>
    <s v="Tablet"/>
    <x v="4"/>
    <x v="0"/>
    <x v="0"/>
    <x v="10"/>
    <x v="0"/>
    <n v="5"/>
    <x v="59"/>
  </r>
  <r>
    <s v="Gerald Harris"/>
    <x v="9"/>
    <n v="1134.45"/>
    <s v="Monitor"/>
    <x v="3"/>
    <x v="2"/>
    <x v="2"/>
    <x v="31"/>
    <x v="0"/>
    <n v="5"/>
    <x v="60"/>
  </r>
  <r>
    <s v="Pam Morgan"/>
    <x v="9"/>
    <n v="1843.7"/>
    <s v="Camera"/>
    <x v="4"/>
    <x v="0"/>
    <x v="0"/>
    <x v="32"/>
    <x v="1"/>
    <n v="4"/>
    <x v="43"/>
  </r>
  <r>
    <s v="Danielle Wilkinson"/>
    <x v="6"/>
    <n v="255.2"/>
    <s v="Monitor"/>
    <x v="2"/>
    <x v="2"/>
    <x v="1"/>
    <x v="33"/>
    <x v="0"/>
    <n v="1"/>
    <x v="61"/>
  </r>
  <r>
    <s v="Mrs. Lisa Bishop"/>
    <x v="7"/>
    <n v="1989.69"/>
    <s v="Mouse"/>
    <x v="2"/>
    <x v="1"/>
    <x v="3"/>
    <x v="24"/>
    <x v="1"/>
    <n v="3"/>
    <x v="62"/>
  </r>
  <r>
    <s v="Jo Kim"/>
    <x v="5"/>
    <n v="714.76"/>
    <s v="Smartphone"/>
    <x v="3"/>
    <x v="0"/>
    <x v="0"/>
    <x v="24"/>
    <x v="0"/>
    <n v="4"/>
    <x v="63"/>
  </r>
  <r>
    <s v="Peter Sutton"/>
    <x v="7"/>
    <n v="827.91"/>
    <s v="Camera"/>
    <x v="2"/>
    <x v="0"/>
    <x v="0"/>
    <x v="15"/>
    <x v="1"/>
    <n v="2"/>
    <x v="64"/>
  </r>
  <r>
    <s v="Lauren Fox"/>
    <x v="7"/>
    <n v="151.19999999999999"/>
    <s v="Tablet"/>
    <x v="4"/>
    <x v="0"/>
    <x v="0"/>
    <x v="20"/>
    <x v="0"/>
    <n v="1"/>
    <x v="65"/>
  </r>
  <r>
    <s v="Stephanie Lopez"/>
    <x v="0"/>
    <n v="1530.59"/>
    <s v="Keyboard"/>
    <x v="0"/>
    <x v="1"/>
    <x v="1"/>
    <x v="28"/>
    <x v="1"/>
    <n v="4"/>
    <x v="66"/>
  </r>
  <r>
    <s v="Jacqueline Patterson"/>
    <x v="6"/>
    <n v="200.6"/>
    <s v="Headphones"/>
    <x v="4"/>
    <x v="1"/>
    <x v="1"/>
    <x v="1"/>
    <x v="0"/>
    <n v="4"/>
    <x v="67"/>
  </r>
  <r>
    <s v="Jessica Moore"/>
    <x v="1"/>
    <n v="215.85"/>
    <s v="Smartphone"/>
    <x v="3"/>
    <x v="0"/>
    <x v="3"/>
    <x v="9"/>
    <x v="1"/>
    <n v="1"/>
    <x v="68"/>
  </r>
  <r>
    <s v="Zachary Houston DDS"/>
    <x v="8"/>
    <n v="1801.26"/>
    <s v="Camera"/>
    <x v="2"/>
    <x v="0"/>
    <x v="1"/>
    <x v="16"/>
    <x v="0"/>
    <n v="2"/>
    <x v="69"/>
  </r>
  <r>
    <s v="John Adams"/>
    <x v="2"/>
    <n v="1981.2"/>
    <s v="Keyboard"/>
    <x v="2"/>
    <x v="1"/>
    <x v="1"/>
    <x v="26"/>
    <x v="1"/>
    <n v="1"/>
    <x v="70"/>
  </r>
  <r>
    <s v="Patrick Nelson"/>
    <x v="1"/>
    <n v="1951.62"/>
    <s v="Smartphone"/>
    <x v="4"/>
    <x v="0"/>
    <x v="2"/>
    <x v="27"/>
    <x v="0"/>
    <n v="1"/>
    <x v="71"/>
  </r>
  <r>
    <s v="Kathleen Robinson"/>
    <x v="5"/>
    <n v="1330.3"/>
    <s v="Keyboard"/>
    <x v="4"/>
    <x v="1"/>
    <x v="3"/>
    <x v="27"/>
    <x v="0"/>
    <n v="3"/>
    <x v="72"/>
  </r>
  <r>
    <s v="Martha Huang"/>
    <x v="7"/>
    <n v="812.3"/>
    <s v="Keyboard"/>
    <x v="4"/>
    <x v="1"/>
    <x v="0"/>
    <x v="12"/>
    <x v="0"/>
    <n v="5"/>
    <x v="73"/>
  </r>
  <r>
    <s v="Hector Washington"/>
    <x v="3"/>
    <n v="1479.47"/>
    <s v="Tablet"/>
    <x v="2"/>
    <x v="0"/>
    <x v="3"/>
    <x v="1"/>
    <x v="1"/>
    <n v="5"/>
    <x v="74"/>
  </r>
  <r>
    <s v="Jason Acosta"/>
    <x v="2"/>
    <n v="984.54"/>
    <s v="Camera"/>
    <x v="3"/>
    <x v="0"/>
    <x v="3"/>
    <x v="10"/>
    <x v="1"/>
    <n v="5"/>
    <x v="75"/>
  </r>
  <r>
    <s v="Justin Anderson"/>
    <x v="5"/>
    <n v="923.85"/>
    <s v="Tablet"/>
    <x v="3"/>
    <x v="0"/>
    <x v="2"/>
    <x v="7"/>
    <x v="0"/>
    <n v="2"/>
    <x v="25"/>
  </r>
  <r>
    <s v="Dawn Bautista"/>
    <x v="4"/>
    <n v="905.86"/>
    <s v="Mouse"/>
    <x v="4"/>
    <x v="1"/>
    <x v="1"/>
    <x v="19"/>
    <x v="0"/>
    <n v="2"/>
    <x v="76"/>
  </r>
  <r>
    <s v="Mary Salazar"/>
    <x v="7"/>
    <n v="1618.4"/>
    <s v="Keyboard"/>
    <x v="2"/>
    <x v="1"/>
    <x v="2"/>
    <x v="15"/>
    <x v="0"/>
    <n v="3"/>
    <x v="6"/>
  </r>
  <r>
    <s v="Rachel Murray"/>
    <x v="3"/>
    <n v="123.31"/>
    <s v="Keyboard"/>
    <x v="2"/>
    <x v="1"/>
    <x v="0"/>
    <x v="0"/>
    <x v="1"/>
    <n v="3"/>
    <x v="77"/>
  </r>
  <r>
    <s v="Samuel Johnson"/>
    <x v="4"/>
    <n v="1294.9000000000001"/>
    <s v="Mouse"/>
    <x v="2"/>
    <x v="1"/>
    <x v="3"/>
    <x v="29"/>
    <x v="0"/>
    <n v="3"/>
    <x v="78"/>
  </r>
  <r>
    <s v="William Bates"/>
    <x v="5"/>
    <n v="1260.79"/>
    <s v="Tablet"/>
    <x v="0"/>
    <x v="0"/>
    <x v="1"/>
    <x v="17"/>
    <x v="1"/>
    <n v="3"/>
    <x v="79"/>
  </r>
  <r>
    <s v="Beth Dixon"/>
    <x v="2"/>
    <n v="420.74"/>
    <s v="Camera"/>
    <x v="2"/>
    <x v="0"/>
    <x v="2"/>
    <x v="11"/>
    <x v="0"/>
    <n v="3"/>
    <x v="49"/>
  </r>
  <r>
    <s v="Kristina Carter"/>
    <x v="6"/>
    <n v="282.5"/>
    <s v="Headphones"/>
    <x v="4"/>
    <x v="1"/>
    <x v="3"/>
    <x v="23"/>
    <x v="0"/>
    <n v="4"/>
    <x v="80"/>
  </r>
  <r>
    <s v="Anthony Schmidt"/>
    <x v="8"/>
    <n v="339.97"/>
    <s v="Printer"/>
    <x v="2"/>
    <x v="2"/>
    <x v="0"/>
    <x v="0"/>
    <x v="0"/>
    <n v="5"/>
    <x v="81"/>
  </r>
  <r>
    <s v="Kimberly Griffin"/>
    <x v="7"/>
    <n v="1582.11"/>
    <s v="Smartwatch"/>
    <x v="3"/>
    <x v="0"/>
    <x v="0"/>
    <x v="4"/>
    <x v="1"/>
    <n v="4"/>
    <x v="37"/>
  </r>
  <r>
    <s v="Thomas Reeves"/>
    <x v="9"/>
    <n v="85.3"/>
    <s v="Camera"/>
    <x v="3"/>
    <x v="0"/>
    <x v="3"/>
    <x v="11"/>
    <x v="0"/>
    <n v="1"/>
    <x v="82"/>
  </r>
  <r>
    <s v="Allison Blake"/>
    <x v="5"/>
    <n v="1105.94"/>
    <s v="Monitor"/>
    <x v="2"/>
    <x v="2"/>
    <x v="1"/>
    <x v="9"/>
    <x v="0"/>
    <n v="2"/>
    <x v="83"/>
  </r>
  <r>
    <s v="Jason King"/>
    <x v="0"/>
    <n v="1916.88"/>
    <s v="Headphones"/>
    <x v="2"/>
    <x v="1"/>
    <x v="0"/>
    <x v="26"/>
    <x v="1"/>
    <n v="2"/>
    <x v="84"/>
  </r>
  <r>
    <s v="Christina Gilbert"/>
    <x v="6"/>
    <n v="111.25"/>
    <s v="Mouse"/>
    <x v="4"/>
    <x v="1"/>
    <x v="1"/>
    <x v="9"/>
    <x v="1"/>
    <n v="3"/>
    <x v="85"/>
  </r>
  <r>
    <s v="Casey Rodriguez"/>
    <x v="1"/>
    <n v="1928.68"/>
    <s v="Printer"/>
    <x v="4"/>
    <x v="2"/>
    <x v="0"/>
    <x v="16"/>
    <x v="1"/>
    <n v="4"/>
    <x v="86"/>
  </r>
  <r>
    <s v="Sonya Franklin"/>
    <x v="2"/>
    <n v="1833.72"/>
    <s v="Printer"/>
    <x v="4"/>
    <x v="2"/>
    <x v="1"/>
    <x v="20"/>
    <x v="0"/>
    <n v="2"/>
    <x v="87"/>
  </r>
  <r>
    <s v="Nancy Church"/>
    <x v="5"/>
    <n v="512.16"/>
    <s v="Camera"/>
    <x v="3"/>
    <x v="0"/>
    <x v="1"/>
    <x v="1"/>
    <x v="1"/>
    <n v="4"/>
    <x v="88"/>
  </r>
  <r>
    <s v="Danielle Spence"/>
    <x v="9"/>
    <n v="740.36"/>
    <s v="Smartwatch"/>
    <x v="2"/>
    <x v="0"/>
    <x v="3"/>
    <x v="6"/>
    <x v="0"/>
    <n v="1"/>
    <x v="89"/>
  </r>
  <r>
    <s v="Robert Davis"/>
    <x v="3"/>
    <n v="207.72"/>
    <s v="Camera"/>
    <x v="4"/>
    <x v="0"/>
    <x v="2"/>
    <x v="34"/>
    <x v="0"/>
    <n v="2"/>
    <x v="90"/>
  </r>
  <r>
    <s v="Joseph Hood"/>
    <x v="8"/>
    <n v="27.55"/>
    <s v="Camera"/>
    <x v="4"/>
    <x v="0"/>
    <x v="1"/>
    <x v="21"/>
    <x v="0"/>
    <n v="4"/>
    <x v="91"/>
  </r>
  <r>
    <s v="Kristy Hobbs"/>
    <x v="1"/>
    <n v="1544.34"/>
    <s v="Headphones"/>
    <x v="3"/>
    <x v="1"/>
    <x v="2"/>
    <x v="9"/>
    <x v="0"/>
    <n v="5"/>
    <x v="92"/>
  </r>
  <r>
    <s v="Phyllis Mayo"/>
    <x v="9"/>
    <n v="1741.43"/>
    <s v="Keyboard"/>
    <x v="3"/>
    <x v="1"/>
    <x v="1"/>
    <x v="32"/>
    <x v="0"/>
    <n v="3"/>
    <x v="93"/>
  </r>
  <r>
    <s v="Robert Cooper"/>
    <x v="4"/>
    <n v="1075.3800000000001"/>
    <s v="Tablet"/>
    <x v="3"/>
    <x v="0"/>
    <x v="2"/>
    <x v="8"/>
    <x v="0"/>
    <n v="5"/>
    <x v="94"/>
  </r>
  <r>
    <s v="Walter Scott"/>
    <x v="6"/>
    <n v="1910.94"/>
    <s v="Smartwatch"/>
    <x v="3"/>
    <x v="0"/>
    <x v="1"/>
    <x v="35"/>
    <x v="1"/>
    <n v="3"/>
    <x v="95"/>
  </r>
  <r>
    <s v="Kelly Green"/>
    <x v="8"/>
    <n v="987.49"/>
    <s v="Printer"/>
    <x v="3"/>
    <x v="2"/>
    <x v="0"/>
    <x v="6"/>
    <x v="1"/>
    <n v="1"/>
    <x v="96"/>
  </r>
  <r>
    <s v="Joshua Griffin"/>
    <x v="0"/>
    <n v="1760.33"/>
    <s v="Laptop"/>
    <x v="4"/>
    <x v="0"/>
    <x v="1"/>
    <x v="22"/>
    <x v="0"/>
    <n v="2"/>
    <x v="97"/>
  </r>
  <r>
    <s v="Lauren Ortiz"/>
    <x v="2"/>
    <n v="608.44000000000005"/>
    <s v="Printer"/>
    <x v="1"/>
    <x v="2"/>
    <x v="2"/>
    <x v="12"/>
    <x v="1"/>
    <n v="4"/>
    <x v="98"/>
  </r>
  <r>
    <s v="Sabrina Rice"/>
    <x v="1"/>
    <n v="801.61"/>
    <s v="Keyboard"/>
    <x v="2"/>
    <x v="1"/>
    <x v="0"/>
    <x v="22"/>
    <x v="0"/>
    <n v="4"/>
    <x v="99"/>
  </r>
  <r>
    <s v="Albert Turner"/>
    <x v="9"/>
    <n v="104.52"/>
    <s v="Printer"/>
    <x v="2"/>
    <x v="2"/>
    <x v="1"/>
    <x v="20"/>
    <x v="0"/>
    <n v="5"/>
    <x v="100"/>
  </r>
  <r>
    <s v="Jonathan Munoz"/>
    <x v="1"/>
    <n v="1292.6400000000001"/>
    <s v="Laptop"/>
    <x v="1"/>
    <x v="0"/>
    <x v="2"/>
    <x v="16"/>
    <x v="0"/>
    <n v="2"/>
    <x v="101"/>
  </r>
  <r>
    <s v="Elizabeth May"/>
    <x v="5"/>
    <n v="1394.83"/>
    <s v="Laptop"/>
    <x v="1"/>
    <x v="0"/>
    <x v="0"/>
    <x v="7"/>
    <x v="0"/>
    <n v="1"/>
    <x v="102"/>
  </r>
  <r>
    <s v="Evan Horton"/>
    <x v="9"/>
    <n v="1919.32"/>
    <s v="Camera"/>
    <x v="3"/>
    <x v="0"/>
    <x v="2"/>
    <x v="36"/>
    <x v="1"/>
    <n v="5"/>
    <x v="35"/>
  </r>
  <r>
    <s v="Logan Rodriguez"/>
    <x v="5"/>
    <n v="1475.51"/>
    <s v="Tablet"/>
    <x v="3"/>
    <x v="0"/>
    <x v="0"/>
    <x v="6"/>
    <x v="1"/>
    <n v="4"/>
    <x v="103"/>
  </r>
  <r>
    <s v="Kevin Ruiz"/>
    <x v="0"/>
    <n v="251.65"/>
    <s v="Smartphone"/>
    <x v="2"/>
    <x v="0"/>
    <x v="2"/>
    <x v="4"/>
    <x v="0"/>
    <n v="5"/>
    <x v="104"/>
  </r>
  <r>
    <s v="Alexandra Cook"/>
    <x v="8"/>
    <n v="1076.02"/>
    <s v="Monitor"/>
    <x v="3"/>
    <x v="2"/>
    <x v="3"/>
    <x v="9"/>
    <x v="0"/>
    <n v="2"/>
    <x v="105"/>
  </r>
  <r>
    <s v="Chad Rios"/>
    <x v="1"/>
    <n v="1561.22"/>
    <s v="Camera"/>
    <x v="2"/>
    <x v="0"/>
    <x v="3"/>
    <x v="10"/>
    <x v="0"/>
    <n v="2"/>
    <x v="106"/>
  </r>
  <r>
    <s v="Vanessa Herrera"/>
    <x v="9"/>
    <n v="579.85"/>
    <s v="Smartphone"/>
    <x v="3"/>
    <x v="0"/>
    <x v="2"/>
    <x v="4"/>
    <x v="1"/>
    <n v="2"/>
    <x v="107"/>
  </r>
  <r>
    <s v="Raymond Walker"/>
    <x v="9"/>
    <n v="727.18"/>
    <s v="Headphones"/>
    <x v="3"/>
    <x v="1"/>
    <x v="1"/>
    <x v="13"/>
    <x v="0"/>
    <n v="3"/>
    <x v="108"/>
  </r>
  <r>
    <s v="Joseph Mcdaniel"/>
    <x v="1"/>
    <n v="1354.08"/>
    <s v="Camera"/>
    <x v="2"/>
    <x v="0"/>
    <x v="3"/>
    <x v="32"/>
    <x v="0"/>
    <n v="3"/>
    <x v="109"/>
  </r>
  <r>
    <s v="Troy Stanley"/>
    <x v="7"/>
    <n v="592.13"/>
    <s v="Keyboard"/>
    <x v="1"/>
    <x v="1"/>
    <x v="3"/>
    <x v="28"/>
    <x v="0"/>
    <n v="1"/>
    <x v="110"/>
  </r>
  <r>
    <s v="Peter Jones"/>
    <x v="4"/>
    <n v="746.67"/>
    <s v="Monitor"/>
    <x v="2"/>
    <x v="2"/>
    <x v="2"/>
    <x v="37"/>
    <x v="0"/>
    <n v="2"/>
    <x v="111"/>
  </r>
  <r>
    <s v="Christian Mills"/>
    <x v="0"/>
    <n v="79.13"/>
    <s v="Tablet"/>
    <x v="1"/>
    <x v="0"/>
    <x v="0"/>
    <x v="17"/>
    <x v="1"/>
    <n v="4"/>
    <x v="112"/>
  </r>
  <r>
    <s v="Anthony Erickson"/>
    <x v="2"/>
    <n v="948.1"/>
    <s v="Keyboard"/>
    <x v="2"/>
    <x v="1"/>
    <x v="1"/>
    <x v="19"/>
    <x v="1"/>
    <n v="5"/>
    <x v="113"/>
  </r>
  <r>
    <s v="Sharon Hodge"/>
    <x v="0"/>
    <n v="1434.82"/>
    <s v="Smartphone"/>
    <x v="3"/>
    <x v="0"/>
    <x v="0"/>
    <x v="2"/>
    <x v="1"/>
    <n v="2"/>
    <x v="114"/>
  </r>
  <r>
    <s v="Jeffrey Martinez"/>
    <x v="5"/>
    <n v="186.48"/>
    <s v="Monitor"/>
    <x v="2"/>
    <x v="2"/>
    <x v="2"/>
    <x v="38"/>
    <x v="1"/>
    <n v="1"/>
    <x v="115"/>
  </r>
  <r>
    <s v="Christine Richards"/>
    <x v="6"/>
    <n v="405.35"/>
    <s v="Mouse"/>
    <x v="2"/>
    <x v="1"/>
    <x v="2"/>
    <x v="8"/>
    <x v="0"/>
    <n v="2"/>
    <x v="116"/>
  </r>
  <r>
    <s v="Sarah Lynn"/>
    <x v="3"/>
    <n v="1404.09"/>
    <s v="Camera"/>
    <x v="0"/>
    <x v="0"/>
    <x v="1"/>
    <x v="16"/>
    <x v="1"/>
    <n v="1"/>
    <x v="117"/>
  </r>
  <r>
    <s v="Sean Little"/>
    <x v="3"/>
    <n v="722.64"/>
    <s v="Smartwatch"/>
    <x v="2"/>
    <x v="0"/>
    <x v="0"/>
    <x v="29"/>
    <x v="1"/>
    <n v="2"/>
    <x v="118"/>
  </r>
  <r>
    <s v="Brandon Wagner"/>
    <x v="9"/>
    <n v="1863.09"/>
    <s v="Headphones"/>
    <x v="3"/>
    <x v="1"/>
    <x v="2"/>
    <x v="12"/>
    <x v="0"/>
    <n v="2"/>
    <x v="119"/>
  </r>
  <r>
    <s v="Lee Gonzales"/>
    <x v="5"/>
    <n v="93.66"/>
    <s v="Laptop"/>
    <x v="3"/>
    <x v="0"/>
    <x v="0"/>
    <x v="22"/>
    <x v="1"/>
    <n v="4"/>
    <x v="120"/>
  </r>
  <r>
    <s v="Ryan Michael"/>
    <x v="6"/>
    <n v="1916.28"/>
    <s v="Headphones"/>
    <x v="3"/>
    <x v="1"/>
    <x v="1"/>
    <x v="2"/>
    <x v="1"/>
    <n v="5"/>
    <x v="121"/>
  </r>
  <r>
    <s v="Stephen Pearson"/>
    <x v="6"/>
    <n v="1715.21"/>
    <s v="Monitor"/>
    <x v="2"/>
    <x v="2"/>
    <x v="0"/>
    <x v="3"/>
    <x v="0"/>
    <n v="4"/>
    <x v="122"/>
  </r>
  <r>
    <s v="Scott Benson"/>
    <x v="3"/>
    <n v="572.07000000000005"/>
    <s v="Keyboard"/>
    <x v="1"/>
    <x v="1"/>
    <x v="1"/>
    <x v="14"/>
    <x v="1"/>
    <n v="4"/>
    <x v="123"/>
  </r>
  <r>
    <s v="Annette Perez"/>
    <x v="6"/>
    <n v="638.5"/>
    <s v="Headphones"/>
    <x v="3"/>
    <x v="1"/>
    <x v="3"/>
    <x v="34"/>
    <x v="1"/>
    <n v="2"/>
    <x v="62"/>
  </r>
  <r>
    <s v="Christopher Kim"/>
    <x v="7"/>
    <n v="1356.12"/>
    <s v="Tablet"/>
    <x v="1"/>
    <x v="0"/>
    <x v="1"/>
    <x v="16"/>
    <x v="1"/>
    <n v="1"/>
    <x v="124"/>
  </r>
  <r>
    <s v="Eric Cochran"/>
    <x v="7"/>
    <n v="727.89"/>
    <s v="Printer"/>
    <x v="1"/>
    <x v="2"/>
    <x v="3"/>
    <x v="30"/>
    <x v="1"/>
    <n v="2"/>
    <x v="125"/>
  </r>
  <r>
    <s v="Jennifer Miller"/>
    <x v="0"/>
    <n v="428.71"/>
    <s v="Printer"/>
    <x v="2"/>
    <x v="2"/>
    <x v="2"/>
    <x v="7"/>
    <x v="0"/>
    <n v="2"/>
    <x v="126"/>
  </r>
  <r>
    <s v="Patrick Bryan"/>
    <x v="0"/>
    <n v="130.83000000000001"/>
    <s v="Mouse"/>
    <x v="2"/>
    <x v="1"/>
    <x v="1"/>
    <x v="24"/>
    <x v="0"/>
    <n v="5"/>
    <x v="112"/>
  </r>
  <r>
    <s v="Cynthia Shelton"/>
    <x v="3"/>
    <n v="584.76"/>
    <s v="Keyboard"/>
    <x v="2"/>
    <x v="1"/>
    <x v="0"/>
    <x v="33"/>
    <x v="0"/>
    <n v="4"/>
    <x v="116"/>
  </r>
  <r>
    <s v="Kelli Jackson"/>
    <x v="6"/>
    <n v="599.63"/>
    <s v="Keyboard"/>
    <x v="3"/>
    <x v="1"/>
    <x v="1"/>
    <x v="22"/>
    <x v="0"/>
    <n v="2"/>
    <x v="127"/>
  </r>
  <r>
    <s v="Andrew Whitney"/>
    <x v="5"/>
    <n v="1376.82"/>
    <s v="Laptop"/>
    <x v="3"/>
    <x v="0"/>
    <x v="2"/>
    <x v="3"/>
    <x v="1"/>
    <n v="4"/>
    <x v="128"/>
  </r>
  <r>
    <s v="Katherine Gomez"/>
    <x v="4"/>
    <n v="271.7"/>
    <s v="Camera"/>
    <x v="3"/>
    <x v="0"/>
    <x v="2"/>
    <x v="21"/>
    <x v="0"/>
    <n v="2"/>
    <x v="129"/>
  </r>
  <r>
    <s v="Kristen Lara"/>
    <x v="6"/>
    <n v="1770.86"/>
    <s v="Printer"/>
    <x v="3"/>
    <x v="2"/>
    <x v="1"/>
    <x v="4"/>
    <x v="0"/>
    <n v="2"/>
    <x v="130"/>
  </r>
  <r>
    <s v="Dr. Jacqueline Davis"/>
    <x v="3"/>
    <n v="1461.21"/>
    <s v="Printer"/>
    <x v="2"/>
    <x v="2"/>
    <x v="2"/>
    <x v="4"/>
    <x v="0"/>
    <n v="4"/>
    <x v="131"/>
  </r>
  <r>
    <s v="Sean Davis"/>
    <x v="3"/>
    <n v="635.04"/>
    <s v="Printer"/>
    <x v="1"/>
    <x v="2"/>
    <x v="1"/>
    <x v="37"/>
    <x v="0"/>
    <n v="2"/>
    <x v="132"/>
  </r>
  <r>
    <s v="Suzanne Goodwin"/>
    <x v="3"/>
    <n v="484.07"/>
    <s v="Mouse"/>
    <x v="1"/>
    <x v="1"/>
    <x v="0"/>
    <x v="27"/>
    <x v="1"/>
    <n v="3"/>
    <x v="133"/>
  </r>
  <r>
    <s v="Daniel Hudson"/>
    <x v="1"/>
    <n v="635.78"/>
    <s v="Smartwatch"/>
    <x v="2"/>
    <x v="0"/>
    <x v="3"/>
    <x v="6"/>
    <x v="0"/>
    <n v="2"/>
    <x v="134"/>
  </r>
  <r>
    <s v="Tina Gross"/>
    <x v="1"/>
    <n v="1398.31"/>
    <s v="Laptop"/>
    <x v="1"/>
    <x v="0"/>
    <x v="0"/>
    <x v="18"/>
    <x v="1"/>
    <n v="4"/>
    <x v="135"/>
  </r>
  <r>
    <s v="Theresa Nunez"/>
    <x v="7"/>
    <n v="1542.79"/>
    <s v="Mouse"/>
    <x v="1"/>
    <x v="1"/>
    <x v="3"/>
    <x v="14"/>
    <x v="0"/>
    <n v="5"/>
    <x v="45"/>
  </r>
  <r>
    <s v="Teresa Alvarado"/>
    <x v="9"/>
    <n v="651.86"/>
    <s v="Tablet"/>
    <x v="2"/>
    <x v="0"/>
    <x v="1"/>
    <x v="14"/>
    <x v="0"/>
    <n v="4"/>
    <x v="1"/>
  </r>
  <r>
    <s v="John Hebert"/>
    <x v="8"/>
    <n v="1721.73"/>
    <s v="Keyboard"/>
    <x v="3"/>
    <x v="1"/>
    <x v="1"/>
    <x v="17"/>
    <x v="1"/>
    <n v="5"/>
    <x v="136"/>
  </r>
  <r>
    <s v="Wesley Morris"/>
    <x v="5"/>
    <n v="842.35"/>
    <s v="Tablet"/>
    <x v="0"/>
    <x v="0"/>
    <x v="2"/>
    <x v="16"/>
    <x v="0"/>
    <n v="4"/>
    <x v="137"/>
  </r>
  <r>
    <s v="John Rosario"/>
    <x v="3"/>
    <n v="1319.26"/>
    <s v="Printer"/>
    <x v="3"/>
    <x v="2"/>
    <x v="2"/>
    <x v="17"/>
    <x v="1"/>
    <n v="4"/>
    <x v="138"/>
  </r>
  <r>
    <s v="Amanda Clark"/>
    <x v="4"/>
    <n v="396.82"/>
    <s v="Tablet"/>
    <x v="2"/>
    <x v="0"/>
    <x v="2"/>
    <x v="4"/>
    <x v="1"/>
    <n v="1"/>
    <x v="139"/>
  </r>
  <r>
    <s v="Susan Peters"/>
    <x v="4"/>
    <n v="1822.08"/>
    <s v="Headphones"/>
    <x v="3"/>
    <x v="1"/>
    <x v="3"/>
    <x v="23"/>
    <x v="1"/>
    <n v="3"/>
    <x v="140"/>
  </r>
  <r>
    <s v="Ashley Smith"/>
    <x v="5"/>
    <n v="1441.05"/>
    <s v="Keyboard"/>
    <x v="1"/>
    <x v="1"/>
    <x v="1"/>
    <x v="15"/>
    <x v="0"/>
    <n v="5"/>
    <x v="141"/>
  </r>
  <r>
    <s v="Ryan Hartman"/>
    <x v="2"/>
    <n v="1722.29"/>
    <s v="Smartphone"/>
    <x v="2"/>
    <x v="0"/>
    <x v="3"/>
    <x v="16"/>
    <x v="1"/>
    <n v="3"/>
    <x v="142"/>
  </r>
  <r>
    <s v="Walter Gonzalez"/>
    <x v="7"/>
    <n v="1382.6"/>
    <s v="Smartwatch"/>
    <x v="1"/>
    <x v="0"/>
    <x v="1"/>
    <x v="35"/>
    <x v="0"/>
    <n v="4"/>
    <x v="143"/>
  </r>
  <r>
    <s v="Mr. Jose Adkins"/>
    <x v="5"/>
    <n v="963.2"/>
    <s v="Smartwatch"/>
    <x v="1"/>
    <x v="0"/>
    <x v="0"/>
    <x v="20"/>
    <x v="0"/>
    <n v="1"/>
    <x v="140"/>
  </r>
  <r>
    <s v="Amanda Schmidt"/>
    <x v="4"/>
    <n v="205.38"/>
    <s v="Tablet"/>
    <x v="3"/>
    <x v="0"/>
    <x v="1"/>
    <x v="9"/>
    <x v="0"/>
    <n v="4"/>
    <x v="144"/>
  </r>
  <r>
    <s v="Wendy Bennett"/>
    <x v="8"/>
    <n v="671.7"/>
    <s v="Printer"/>
    <x v="2"/>
    <x v="2"/>
    <x v="3"/>
    <x v="9"/>
    <x v="1"/>
    <n v="5"/>
    <x v="145"/>
  </r>
  <r>
    <s v="Sabrina Turner"/>
    <x v="1"/>
    <n v="214.64"/>
    <s v="Headphones"/>
    <x v="3"/>
    <x v="1"/>
    <x v="3"/>
    <x v="18"/>
    <x v="1"/>
    <n v="5"/>
    <x v="146"/>
  </r>
  <r>
    <s v="Veronica Stevens"/>
    <x v="6"/>
    <n v="250.45"/>
    <s v="Monitor"/>
    <x v="1"/>
    <x v="2"/>
    <x v="2"/>
    <x v="36"/>
    <x v="1"/>
    <n v="3"/>
    <x v="147"/>
  </r>
  <r>
    <s v="Robert Barnes"/>
    <x v="2"/>
    <n v="1227.22"/>
    <s v="Laptop"/>
    <x v="2"/>
    <x v="0"/>
    <x v="3"/>
    <x v="15"/>
    <x v="1"/>
    <n v="2"/>
    <x v="148"/>
  </r>
  <r>
    <s v="Christopher White"/>
    <x v="3"/>
    <n v="1089.42"/>
    <s v="Tablet"/>
    <x v="2"/>
    <x v="0"/>
    <x v="1"/>
    <x v="26"/>
    <x v="1"/>
    <n v="4"/>
    <x v="1"/>
  </r>
  <r>
    <s v="Joshua Galvan"/>
    <x v="8"/>
    <n v="736.53"/>
    <s v="Keyboard"/>
    <x v="3"/>
    <x v="1"/>
    <x v="3"/>
    <x v="8"/>
    <x v="0"/>
    <n v="3"/>
    <x v="149"/>
  </r>
  <r>
    <s v="Lindsey Simmons"/>
    <x v="3"/>
    <n v="1549.3"/>
    <s v="Monitor"/>
    <x v="2"/>
    <x v="2"/>
    <x v="1"/>
    <x v="1"/>
    <x v="0"/>
    <n v="3"/>
    <x v="150"/>
  </r>
  <r>
    <s v="Lori Smith"/>
    <x v="0"/>
    <n v="917.61"/>
    <s v="Mouse"/>
    <x v="3"/>
    <x v="1"/>
    <x v="3"/>
    <x v="32"/>
    <x v="1"/>
    <n v="1"/>
    <x v="84"/>
  </r>
  <r>
    <s v="Margaret Walker"/>
    <x v="3"/>
    <n v="696.1"/>
    <s v="Headphones"/>
    <x v="2"/>
    <x v="1"/>
    <x v="0"/>
    <x v="1"/>
    <x v="0"/>
    <n v="5"/>
    <x v="151"/>
  </r>
  <r>
    <s v="Timothy Gibson"/>
    <x v="7"/>
    <n v="1105.8499999999999"/>
    <s v="Keyboard"/>
    <x v="1"/>
    <x v="1"/>
    <x v="0"/>
    <x v="29"/>
    <x v="1"/>
    <n v="3"/>
    <x v="152"/>
  </r>
  <r>
    <s v="Patricia Bridges"/>
    <x v="8"/>
    <n v="1019.28"/>
    <s v="Smartphone"/>
    <x v="2"/>
    <x v="0"/>
    <x v="0"/>
    <x v="28"/>
    <x v="1"/>
    <n v="4"/>
    <x v="153"/>
  </r>
  <r>
    <s v="Shelley Delacruz"/>
    <x v="7"/>
    <n v="1858.25"/>
    <s v="Monitor"/>
    <x v="2"/>
    <x v="2"/>
    <x v="0"/>
    <x v="16"/>
    <x v="0"/>
    <n v="5"/>
    <x v="154"/>
  </r>
  <r>
    <s v="Ronnie Valdez"/>
    <x v="8"/>
    <n v="1541.34"/>
    <s v="Smartwatch"/>
    <x v="3"/>
    <x v="0"/>
    <x v="3"/>
    <x v="15"/>
    <x v="1"/>
    <n v="3"/>
    <x v="59"/>
  </r>
  <r>
    <s v="Travis Howard"/>
    <x v="7"/>
    <n v="920.18"/>
    <s v="Mouse"/>
    <x v="2"/>
    <x v="1"/>
    <x v="2"/>
    <x v="21"/>
    <x v="0"/>
    <n v="1"/>
    <x v="155"/>
  </r>
  <r>
    <s v="Angela Mcdonald"/>
    <x v="4"/>
    <n v="650.27"/>
    <s v="Headphones"/>
    <x v="3"/>
    <x v="1"/>
    <x v="0"/>
    <x v="5"/>
    <x v="0"/>
    <n v="2"/>
    <x v="156"/>
  </r>
  <r>
    <s v="Nathan Beck"/>
    <x v="5"/>
    <n v="1125.6600000000001"/>
    <s v="Smartwatch"/>
    <x v="3"/>
    <x v="0"/>
    <x v="1"/>
    <x v="32"/>
    <x v="1"/>
    <n v="3"/>
    <x v="157"/>
  </r>
  <r>
    <s v="Tiffany Perez"/>
    <x v="7"/>
    <n v="685.65"/>
    <s v="Printer"/>
    <x v="1"/>
    <x v="2"/>
    <x v="1"/>
    <x v="14"/>
    <x v="1"/>
    <n v="2"/>
    <x v="158"/>
  </r>
  <r>
    <s v="Cody Ortiz"/>
    <x v="9"/>
    <n v="1614.36"/>
    <s v="Keyboard"/>
    <x v="0"/>
    <x v="1"/>
    <x v="0"/>
    <x v="37"/>
    <x v="1"/>
    <n v="3"/>
    <x v="159"/>
  </r>
  <r>
    <s v="Lindsey Mcdonald"/>
    <x v="4"/>
    <n v="1272.5"/>
    <s v="Headphones"/>
    <x v="3"/>
    <x v="1"/>
    <x v="2"/>
    <x v="7"/>
    <x v="1"/>
    <n v="5"/>
    <x v="160"/>
  </r>
  <r>
    <s v="Jasmine Turner"/>
    <x v="8"/>
    <n v="830.46"/>
    <s v="Headphones"/>
    <x v="1"/>
    <x v="1"/>
    <x v="2"/>
    <x v="28"/>
    <x v="0"/>
    <n v="5"/>
    <x v="36"/>
  </r>
  <r>
    <s v="Elizabeth Valdez"/>
    <x v="7"/>
    <n v="1728.57"/>
    <s v="Laptop"/>
    <x v="3"/>
    <x v="0"/>
    <x v="2"/>
    <x v="27"/>
    <x v="0"/>
    <n v="3"/>
    <x v="161"/>
  </r>
  <r>
    <s v="Paige Jones"/>
    <x v="1"/>
    <n v="1649.23"/>
    <s v="Camera"/>
    <x v="1"/>
    <x v="0"/>
    <x v="0"/>
    <x v="18"/>
    <x v="1"/>
    <n v="5"/>
    <x v="162"/>
  </r>
  <r>
    <s v="Natalie Curtis"/>
    <x v="3"/>
    <n v="1773.79"/>
    <s v="Smartwatch"/>
    <x v="1"/>
    <x v="0"/>
    <x v="0"/>
    <x v="26"/>
    <x v="0"/>
    <n v="3"/>
    <x v="163"/>
  </r>
  <r>
    <s v="Cynthia Miller"/>
    <x v="7"/>
    <n v="1237.19"/>
    <s v="Smartphone"/>
    <x v="3"/>
    <x v="0"/>
    <x v="1"/>
    <x v="12"/>
    <x v="1"/>
    <n v="1"/>
    <x v="164"/>
  </r>
  <r>
    <s v="Brandon Wheeler"/>
    <x v="4"/>
    <n v="333.64"/>
    <s v="Monitor"/>
    <x v="5"/>
    <x v="2"/>
    <x v="0"/>
    <x v="21"/>
    <x v="1"/>
    <n v="3"/>
    <x v="57"/>
  </r>
  <r>
    <s v="Pamela Edwards"/>
    <x v="5"/>
    <n v="792.17"/>
    <s v="Smartphone"/>
    <x v="1"/>
    <x v="0"/>
    <x v="0"/>
    <x v="9"/>
    <x v="1"/>
    <n v="4"/>
    <x v="165"/>
  </r>
  <r>
    <s v="James Beck"/>
    <x v="1"/>
    <n v="1425.26"/>
    <s v="Mouse"/>
    <x v="3"/>
    <x v="1"/>
    <x v="0"/>
    <x v="32"/>
    <x v="1"/>
    <n v="1"/>
    <x v="166"/>
  </r>
  <r>
    <s v="Larry Davis"/>
    <x v="7"/>
    <n v="695.37"/>
    <s v="Laptop"/>
    <x v="1"/>
    <x v="0"/>
    <x v="1"/>
    <x v="7"/>
    <x v="1"/>
    <n v="5"/>
    <x v="118"/>
  </r>
  <r>
    <s v="Felicia Rodriguez"/>
    <x v="2"/>
    <n v="166.52"/>
    <s v="Tablet"/>
    <x v="0"/>
    <x v="0"/>
    <x v="2"/>
    <x v="8"/>
    <x v="1"/>
    <n v="4"/>
    <x v="98"/>
  </r>
  <r>
    <s v="Janet Wong"/>
    <x v="0"/>
    <n v="667.67"/>
    <s v="Monitor"/>
    <x v="3"/>
    <x v="2"/>
    <x v="2"/>
    <x v="0"/>
    <x v="1"/>
    <n v="5"/>
    <x v="167"/>
  </r>
  <r>
    <s v="Richard Fernandez"/>
    <x v="7"/>
    <n v="1344.64"/>
    <s v="Smartwatch"/>
    <x v="5"/>
    <x v="0"/>
    <x v="1"/>
    <x v="20"/>
    <x v="1"/>
    <n v="5"/>
    <x v="39"/>
  </r>
  <r>
    <s v="Kelly Hurst"/>
    <x v="5"/>
    <n v="1768.38"/>
    <s v="Keyboard"/>
    <x v="3"/>
    <x v="1"/>
    <x v="3"/>
    <x v="31"/>
    <x v="0"/>
    <n v="1"/>
    <x v="168"/>
  </r>
  <r>
    <s v="Carla Whitney"/>
    <x v="0"/>
    <n v="1200.8"/>
    <s v="Smartphone"/>
    <x v="5"/>
    <x v="0"/>
    <x v="1"/>
    <x v="3"/>
    <x v="0"/>
    <n v="3"/>
    <x v="169"/>
  </r>
  <r>
    <s v="Frederick Cruz"/>
    <x v="0"/>
    <n v="600.23"/>
    <s v="Tablet"/>
    <x v="3"/>
    <x v="0"/>
    <x v="0"/>
    <x v="20"/>
    <x v="0"/>
    <n v="5"/>
    <x v="170"/>
  </r>
  <r>
    <s v="Catherine Daniels"/>
    <x v="8"/>
    <n v="1145.32"/>
    <s v="Headphones"/>
    <x v="5"/>
    <x v="1"/>
    <x v="2"/>
    <x v="19"/>
    <x v="0"/>
    <n v="3"/>
    <x v="171"/>
  </r>
  <r>
    <s v="Joshua Huffman"/>
    <x v="1"/>
    <n v="289.37"/>
    <s v="Tablet"/>
    <x v="1"/>
    <x v="0"/>
    <x v="1"/>
    <x v="32"/>
    <x v="1"/>
    <n v="4"/>
    <x v="172"/>
  </r>
  <r>
    <s v="Mia Mills"/>
    <x v="5"/>
    <n v="1634.89"/>
    <s v="Headphones"/>
    <x v="3"/>
    <x v="1"/>
    <x v="3"/>
    <x v="10"/>
    <x v="1"/>
    <n v="3"/>
    <x v="173"/>
  </r>
  <r>
    <s v="James Chavez"/>
    <x v="5"/>
    <n v="928.78"/>
    <s v="Laptop"/>
    <x v="3"/>
    <x v="0"/>
    <x v="0"/>
    <x v="26"/>
    <x v="0"/>
    <n v="4"/>
    <x v="174"/>
  </r>
  <r>
    <s v="Troy Green"/>
    <x v="5"/>
    <n v="1619.93"/>
    <s v="Tablet"/>
    <x v="3"/>
    <x v="0"/>
    <x v="1"/>
    <x v="20"/>
    <x v="0"/>
    <n v="5"/>
    <x v="21"/>
  </r>
  <r>
    <s v="William Simpson"/>
    <x v="2"/>
    <n v="1773.45"/>
    <s v="Monitor"/>
    <x v="1"/>
    <x v="2"/>
    <x v="2"/>
    <x v="16"/>
    <x v="0"/>
    <n v="1"/>
    <x v="175"/>
  </r>
  <r>
    <s v="Tonya Martin"/>
    <x v="3"/>
    <n v="763.41"/>
    <s v="Mouse"/>
    <x v="5"/>
    <x v="1"/>
    <x v="1"/>
    <x v="29"/>
    <x v="1"/>
    <n v="1"/>
    <x v="176"/>
  </r>
  <r>
    <s v="Michael Blair"/>
    <x v="0"/>
    <n v="57.98"/>
    <s v="Smartwatch"/>
    <x v="3"/>
    <x v="0"/>
    <x v="0"/>
    <x v="15"/>
    <x v="1"/>
    <n v="2"/>
    <x v="177"/>
  </r>
  <r>
    <s v="Robert Graham"/>
    <x v="0"/>
    <n v="1176.4000000000001"/>
    <s v="Monitor"/>
    <x v="4"/>
    <x v="2"/>
    <x v="3"/>
    <x v="18"/>
    <x v="1"/>
    <n v="1"/>
    <x v="138"/>
  </r>
  <r>
    <s v="Jason Chavez"/>
    <x v="5"/>
    <n v="1367.69"/>
    <s v="Printer"/>
    <x v="5"/>
    <x v="2"/>
    <x v="1"/>
    <x v="32"/>
    <x v="1"/>
    <n v="3"/>
    <x v="26"/>
  </r>
  <r>
    <s v="Donna Kelly"/>
    <x v="6"/>
    <n v="602.58000000000004"/>
    <s v="Printer"/>
    <x v="5"/>
    <x v="2"/>
    <x v="2"/>
    <x v="13"/>
    <x v="0"/>
    <n v="1"/>
    <x v="178"/>
  </r>
  <r>
    <s v="Ashley Banks"/>
    <x v="6"/>
    <n v="1030.29"/>
    <s v="Keyboard"/>
    <x v="5"/>
    <x v="1"/>
    <x v="1"/>
    <x v="2"/>
    <x v="1"/>
    <n v="5"/>
    <x v="179"/>
  </r>
  <r>
    <s v="Daniel Patterson"/>
    <x v="0"/>
    <n v="618.14"/>
    <s v="Printer"/>
    <x v="2"/>
    <x v="2"/>
    <x v="1"/>
    <x v="11"/>
    <x v="0"/>
    <n v="3"/>
    <x v="13"/>
  </r>
  <r>
    <s v="Natalie Kelly"/>
    <x v="7"/>
    <n v="1069.44"/>
    <s v="Monitor"/>
    <x v="3"/>
    <x v="2"/>
    <x v="0"/>
    <x v="1"/>
    <x v="1"/>
    <n v="1"/>
    <x v="146"/>
  </r>
  <r>
    <s v="Connie Rodriguez"/>
    <x v="3"/>
    <n v="613.92999999999995"/>
    <s v="Printer"/>
    <x v="4"/>
    <x v="2"/>
    <x v="2"/>
    <x v="3"/>
    <x v="1"/>
    <n v="3"/>
    <x v="180"/>
  </r>
  <r>
    <s v="Charles Ramirez"/>
    <x v="7"/>
    <n v="24.27"/>
    <s v="Smartphone"/>
    <x v="4"/>
    <x v="0"/>
    <x v="2"/>
    <x v="27"/>
    <x v="1"/>
    <n v="4"/>
    <x v="19"/>
  </r>
  <r>
    <s v="Steven Gonzalez"/>
    <x v="0"/>
    <n v="1745.37"/>
    <s v="Tablet"/>
    <x v="0"/>
    <x v="0"/>
    <x v="0"/>
    <x v="38"/>
    <x v="1"/>
    <n v="1"/>
    <x v="181"/>
  </r>
  <r>
    <s v="Heather Nguyen"/>
    <x v="5"/>
    <n v="1730.52"/>
    <s v="Smartwatch"/>
    <x v="2"/>
    <x v="0"/>
    <x v="0"/>
    <x v="34"/>
    <x v="1"/>
    <n v="1"/>
    <x v="182"/>
  </r>
  <r>
    <s v="Anthony Garcia"/>
    <x v="3"/>
    <n v="1125.05"/>
    <s v="Tablet"/>
    <x v="4"/>
    <x v="0"/>
    <x v="3"/>
    <x v="28"/>
    <x v="1"/>
    <n v="2"/>
    <x v="183"/>
  </r>
  <r>
    <s v="Robert Morse"/>
    <x v="5"/>
    <n v="1704.53"/>
    <s v="Monitor"/>
    <x v="0"/>
    <x v="2"/>
    <x v="2"/>
    <x v="1"/>
    <x v="1"/>
    <n v="1"/>
    <x v="135"/>
  </r>
  <r>
    <s v="Daniel Powell"/>
    <x v="8"/>
    <n v="129.71"/>
    <s v="Monitor"/>
    <x v="2"/>
    <x v="2"/>
    <x v="0"/>
    <x v="5"/>
    <x v="0"/>
    <n v="3"/>
    <x v="154"/>
  </r>
  <r>
    <s v="Jesse Riley"/>
    <x v="2"/>
    <n v="1232.9000000000001"/>
    <s v="Monitor"/>
    <x v="2"/>
    <x v="2"/>
    <x v="3"/>
    <x v="5"/>
    <x v="1"/>
    <n v="1"/>
    <x v="48"/>
  </r>
  <r>
    <s v="George Mccall"/>
    <x v="6"/>
    <n v="1594.48"/>
    <s v="Smartphone"/>
    <x v="4"/>
    <x v="0"/>
    <x v="0"/>
    <x v="24"/>
    <x v="0"/>
    <n v="4"/>
    <x v="184"/>
  </r>
  <r>
    <s v="Jorge Coffey MD"/>
    <x v="8"/>
    <n v="927.31"/>
    <s v="Headphones"/>
    <x v="3"/>
    <x v="1"/>
    <x v="3"/>
    <x v="29"/>
    <x v="0"/>
    <n v="1"/>
    <x v="185"/>
  </r>
  <r>
    <s v="Tiffany Sampson"/>
    <x v="4"/>
    <n v="520.41"/>
    <s v="Smartwatch"/>
    <x v="3"/>
    <x v="0"/>
    <x v="3"/>
    <x v="29"/>
    <x v="1"/>
    <n v="2"/>
    <x v="186"/>
  </r>
  <r>
    <s v="Jeffrey Thompson"/>
    <x v="2"/>
    <n v="499.98"/>
    <s v="Keyboard"/>
    <x v="2"/>
    <x v="1"/>
    <x v="1"/>
    <x v="34"/>
    <x v="0"/>
    <n v="1"/>
    <x v="187"/>
  </r>
  <r>
    <s v="Andrea Salazar"/>
    <x v="0"/>
    <n v="1170.07"/>
    <s v="Mouse"/>
    <x v="4"/>
    <x v="1"/>
    <x v="0"/>
    <x v="26"/>
    <x v="1"/>
    <n v="1"/>
    <x v="142"/>
  </r>
  <r>
    <s v="Maria Allen"/>
    <x v="9"/>
    <n v="437.98"/>
    <s v="Keyboard"/>
    <x v="2"/>
    <x v="1"/>
    <x v="1"/>
    <x v="34"/>
    <x v="1"/>
    <n v="2"/>
    <x v="188"/>
  </r>
  <r>
    <s v="Michele Goodwin"/>
    <x v="9"/>
    <n v="1622.04"/>
    <s v="Smartwatch"/>
    <x v="3"/>
    <x v="0"/>
    <x v="1"/>
    <x v="4"/>
    <x v="1"/>
    <n v="5"/>
    <x v="163"/>
  </r>
  <r>
    <s v="Jeremiah Garcia"/>
    <x v="2"/>
    <n v="241"/>
    <s v="Tablet"/>
    <x v="4"/>
    <x v="0"/>
    <x v="0"/>
    <x v="4"/>
    <x v="0"/>
    <n v="3"/>
    <x v="189"/>
  </r>
  <r>
    <s v="Felicia Davila"/>
    <x v="4"/>
    <n v="1454.08"/>
    <s v="Laptop"/>
    <x v="2"/>
    <x v="0"/>
    <x v="0"/>
    <x v="30"/>
    <x v="0"/>
    <n v="3"/>
    <x v="190"/>
  </r>
  <r>
    <s v="Ashley Miranda"/>
    <x v="5"/>
    <n v="1025.1199999999999"/>
    <s v="Laptop"/>
    <x v="3"/>
    <x v="0"/>
    <x v="3"/>
    <x v="24"/>
    <x v="0"/>
    <n v="3"/>
    <x v="127"/>
  </r>
  <r>
    <s v="Brian Stevenson"/>
    <x v="9"/>
    <n v="225.82"/>
    <s v="Mouse"/>
    <x v="1"/>
    <x v="1"/>
    <x v="3"/>
    <x v="10"/>
    <x v="0"/>
    <n v="3"/>
    <x v="191"/>
  </r>
  <r>
    <s v="Kristen Quinn"/>
    <x v="3"/>
    <n v="34.6"/>
    <s v="Keyboard"/>
    <x v="2"/>
    <x v="1"/>
    <x v="0"/>
    <x v="16"/>
    <x v="1"/>
    <n v="2"/>
    <x v="192"/>
  </r>
  <r>
    <s v="Brianna Bowman"/>
    <x v="2"/>
    <n v="220.45"/>
    <s v="Smartwatch"/>
    <x v="2"/>
    <x v="0"/>
    <x v="1"/>
    <x v="20"/>
    <x v="0"/>
    <n v="5"/>
    <x v="53"/>
  </r>
  <r>
    <s v="Leroy Armstrong"/>
    <x v="8"/>
    <n v="1200.43"/>
    <s v="Camera"/>
    <x v="1"/>
    <x v="0"/>
    <x v="2"/>
    <x v="1"/>
    <x v="0"/>
    <n v="5"/>
    <x v="176"/>
  </r>
  <r>
    <s v="Dr. Keith Harris"/>
    <x v="3"/>
    <n v="1322.98"/>
    <s v="Keyboard"/>
    <x v="2"/>
    <x v="1"/>
    <x v="1"/>
    <x v="25"/>
    <x v="0"/>
    <n v="1"/>
    <x v="89"/>
  </r>
  <r>
    <s v="Jacob Dunn Jr."/>
    <x v="0"/>
    <n v="1650.89"/>
    <s v="Smartphone"/>
    <x v="1"/>
    <x v="0"/>
    <x v="3"/>
    <x v="32"/>
    <x v="1"/>
    <n v="2"/>
    <x v="193"/>
  </r>
  <r>
    <s v="Amy Brewer"/>
    <x v="4"/>
    <n v="1796.58"/>
    <s v="Camera"/>
    <x v="5"/>
    <x v="0"/>
    <x v="1"/>
    <x v="34"/>
    <x v="1"/>
    <n v="5"/>
    <x v="194"/>
  </r>
  <r>
    <s v="Thomas Horn"/>
    <x v="2"/>
    <n v="1635.85"/>
    <s v="Mouse"/>
    <x v="5"/>
    <x v="1"/>
    <x v="1"/>
    <x v="12"/>
    <x v="1"/>
    <n v="2"/>
    <x v="133"/>
  </r>
  <r>
    <s v="Angel Morrow"/>
    <x v="1"/>
    <n v="93.7"/>
    <s v="Monitor"/>
    <x v="3"/>
    <x v="2"/>
    <x v="1"/>
    <x v="26"/>
    <x v="1"/>
    <n v="5"/>
    <x v="195"/>
  </r>
  <r>
    <s v="Joanna Shields"/>
    <x v="2"/>
    <n v="1058.56"/>
    <s v="Camera"/>
    <x v="5"/>
    <x v="0"/>
    <x v="1"/>
    <x v="18"/>
    <x v="1"/>
    <n v="4"/>
    <x v="196"/>
  </r>
  <r>
    <s v="Matthew Martinez"/>
    <x v="0"/>
    <n v="1179.75"/>
    <s v="Camera"/>
    <x v="5"/>
    <x v="0"/>
    <x v="3"/>
    <x v="5"/>
    <x v="0"/>
    <n v="5"/>
    <x v="197"/>
  </r>
  <r>
    <s v="Carrie Montgomery"/>
    <x v="9"/>
    <n v="1787.08"/>
    <s v="Monitor"/>
    <x v="5"/>
    <x v="2"/>
    <x v="0"/>
    <x v="29"/>
    <x v="1"/>
    <n v="2"/>
    <x v="198"/>
  </r>
  <r>
    <s v="Lisa Clark"/>
    <x v="8"/>
    <n v="542.55999999999995"/>
    <s v="Monitor"/>
    <x v="5"/>
    <x v="2"/>
    <x v="0"/>
    <x v="3"/>
    <x v="1"/>
    <n v="3"/>
    <x v="199"/>
  </r>
  <r>
    <s v="Tiffany Jarvis"/>
    <x v="8"/>
    <n v="63.28"/>
    <s v="Smartwatch"/>
    <x v="1"/>
    <x v="0"/>
    <x v="3"/>
    <x v="15"/>
    <x v="1"/>
    <n v="1"/>
    <x v="47"/>
  </r>
  <r>
    <s v="Robert Ayers"/>
    <x v="8"/>
    <n v="1827.23"/>
    <s v="Camera"/>
    <x v="1"/>
    <x v="0"/>
    <x v="1"/>
    <x v="18"/>
    <x v="1"/>
    <n v="5"/>
    <x v="173"/>
  </r>
  <r>
    <s v="Tonya Rodriguez"/>
    <x v="3"/>
    <n v="1092.1600000000001"/>
    <s v="Laptop"/>
    <x v="1"/>
    <x v="0"/>
    <x v="2"/>
    <x v="38"/>
    <x v="1"/>
    <n v="2"/>
    <x v="200"/>
  </r>
  <r>
    <s v="Jasmine Ramsey"/>
    <x v="5"/>
    <n v="1488.21"/>
    <s v="Monitor"/>
    <x v="3"/>
    <x v="2"/>
    <x v="0"/>
    <x v="6"/>
    <x v="1"/>
    <n v="2"/>
    <x v="201"/>
  </r>
  <r>
    <s v="Glenn Griffith"/>
    <x v="4"/>
    <n v="1915.36"/>
    <s v="Tablet"/>
    <x v="5"/>
    <x v="0"/>
    <x v="2"/>
    <x v="11"/>
    <x v="1"/>
    <n v="3"/>
    <x v="202"/>
  </r>
  <r>
    <s v="Megan Strickland"/>
    <x v="1"/>
    <n v="155.13999999999999"/>
    <s v="Smartwatch"/>
    <x v="3"/>
    <x v="0"/>
    <x v="1"/>
    <x v="26"/>
    <x v="1"/>
    <n v="5"/>
    <x v="203"/>
  </r>
  <r>
    <s v="Robert Russell"/>
    <x v="8"/>
    <n v="1308.57"/>
    <s v="Keyboard"/>
    <x v="3"/>
    <x v="1"/>
    <x v="2"/>
    <x v="0"/>
    <x v="1"/>
    <n v="5"/>
    <x v="41"/>
  </r>
  <r>
    <s v="Sierra Cook"/>
    <x v="5"/>
    <n v="1670.54"/>
    <s v="Printer"/>
    <x v="1"/>
    <x v="2"/>
    <x v="0"/>
    <x v="33"/>
    <x v="1"/>
    <n v="5"/>
    <x v="64"/>
  </r>
  <r>
    <s v="Megan Schultz"/>
    <x v="2"/>
    <n v="731.85"/>
    <s v="Tablet"/>
    <x v="1"/>
    <x v="0"/>
    <x v="0"/>
    <x v="2"/>
    <x v="1"/>
    <n v="4"/>
    <x v="204"/>
  </r>
  <r>
    <s v="Teresa Moore"/>
    <x v="5"/>
    <n v="1073.69"/>
    <s v="Printer"/>
    <x v="2"/>
    <x v="2"/>
    <x v="3"/>
    <x v="23"/>
    <x v="1"/>
    <n v="5"/>
    <x v="205"/>
  </r>
  <r>
    <s v="Paul Bright"/>
    <x v="4"/>
    <n v="1211.82"/>
    <s v="Camera"/>
    <x v="1"/>
    <x v="0"/>
    <x v="3"/>
    <x v="34"/>
    <x v="1"/>
    <n v="4"/>
    <x v="161"/>
  </r>
  <r>
    <s v="Joseph Duke"/>
    <x v="5"/>
    <n v="255.58"/>
    <s v="Smartwatch"/>
    <x v="2"/>
    <x v="0"/>
    <x v="3"/>
    <x v="39"/>
    <x v="1"/>
    <n v="1"/>
    <x v="77"/>
  </r>
  <r>
    <s v="Heather Miller"/>
    <x v="3"/>
    <n v="1513.58"/>
    <s v="Keyboard"/>
    <x v="1"/>
    <x v="1"/>
    <x v="0"/>
    <x v="26"/>
    <x v="1"/>
    <n v="1"/>
    <x v="55"/>
  </r>
  <r>
    <s v="Ronald Miller"/>
    <x v="1"/>
    <n v="1945.14"/>
    <s v="Smartwatch"/>
    <x v="1"/>
    <x v="0"/>
    <x v="3"/>
    <x v="32"/>
    <x v="0"/>
    <n v="1"/>
    <x v="146"/>
  </r>
  <r>
    <s v="John Lloyd"/>
    <x v="0"/>
    <n v="1650.78"/>
    <s v="Mouse"/>
    <x v="2"/>
    <x v="1"/>
    <x v="1"/>
    <x v="19"/>
    <x v="1"/>
    <n v="1"/>
    <x v="206"/>
  </r>
  <r>
    <s v="Lynn Barker"/>
    <x v="6"/>
    <n v="1561.31"/>
    <s v="Laptop"/>
    <x v="3"/>
    <x v="0"/>
    <x v="3"/>
    <x v="5"/>
    <x v="0"/>
    <n v="2"/>
    <x v="207"/>
  </r>
  <r>
    <s v="Angela King"/>
    <x v="4"/>
    <n v="1283.42"/>
    <s v="Camera"/>
    <x v="2"/>
    <x v="0"/>
    <x v="2"/>
    <x v="9"/>
    <x v="0"/>
    <n v="1"/>
    <x v="189"/>
  </r>
  <r>
    <s v="Jake Calderon"/>
    <x v="6"/>
    <n v="624.41"/>
    <s v="Monitor"/>
    <x v="3"/>
    <x v="2"/>
    <x v="2"/>
    <x v="8"/>
    <x v="1"/>
    <n v="2"/>
    <x v="114"/>
  </r>
  <r>
    <s v="Amanda Taylor"/>
    <x v="2"/>
    <n v="831.7"/>
    <s v="Headphones"/>
    <x v="3"/>
    <x v="1"/>
    <x v="2"/>
    <x v="24"/>
    <x v="0"/>
    <n v="2"/>
    <x v="208"/>
  </r>
  <r>
    <s v="Mike Smith"/>
    <x v="9"/>
    <n v="845.41"/>
    <s v="Smartwatch"/>
    <x v="1"/>
    <x v="0"/>
    <x v="3"/>
    <x v="25"/>
    <x v="0"/>
    <n v="2"/>
    <x v="209"/>
  </r>
  <r>
    <s v="Natalie Warner"/>
    <x v="9"/>
    <n v="1669.01"/>
    <s v="Printer"/>
    <x v="1"/>
    <x v="2"/>
    <x v="3"/>
    <x v="36"/>
    <x v="0"/>
    <n v="1"/>
    <x v="35"/>
  </r>
  <r>
    <s v="Amanda Garcia"/>
    <x v="9"/>
    <n v="320.23"/>
    <s v="Laptop"/>
    <x v="2"/>
    <x v="0"/>
    <x v="1"/>
    <x v="14"/>
    <x v="1"/>
    <n v="5"/>
    <x v="210"/>
  </r>
  <r>
    <s v="Tyler Sandoval"/>
    <x v="4"/>
    <n v="830.13"/>
    <s v="Tablet"/>
    <x v="2"/>
    <x v="0"/>
    <x v="3"/>
    <x v="17"/>
    <x v="1"/>
    <n v="2"/>
    <x v="71"/>
  </r>
  <r>
    <s v="Antonio Thompson"/>
    <x v="7"/>
    <n v="1882.02"/>
    <s v="Monitor"/>
    <x v="3"/>
    <x v="2"/>
    <x v="0"/>
    <x v="35"/>
    <x v="1"/>
    <n v="2"/>
    <x v="211"/>
  </r>
  <r>
    <s v="Brian White"/>
    <x v="5"/>
    <n v="851.44"/>
    <s v="Camera"/>
    <x v="2"/>
    <x v="0"/>
    <x v="2"/>
    <x v="32"/>
    <x v="1"/>
    <n v="3"/>
    <x v="139"/>
  </r>
  <r>
    <s v="Jessica Stewart"/>
    <x v="9"/>
    <n v="315.75"/>
    <s v="Smartwatch"/>
    <x v="2"/>
    <x v="0"/>
    <x v="0"/>
    <x v="9"/>
    <x v="1"/>
    <n v="5"/>
    <x v="212"/>
  </r>
  <r>
    <s v="William Thompson"/>
    <x v="5"/>
    <n v="366.42"/>
    <s v="Tablet"/>
    <x v="1"/>
    <x v="0"/>
    <x v="1"/>
    <x v="5"/>
    <x v="1"/>
    <n v="4"/>
    <x v="213"/>
  </r>
  <r>
    <s v="Julie Jennings"/>
    <x v="9"/>
    <n v="31.56"/>
    <s v="Tablet"/>
    <x v="3"/>
    <x v="0"/>
    <x v="3"/>
    <x v="30"/>
    <x v="0"/>
    <n v="4"/>
    <x v="214"/>
  </r>
  <r>
    <s v="Gregory Townsend"/>
    <x v="2"/>
    <n v="753.97"/>
    <s v="Mouse"/>
    <x v="1"/>
    <x v="1"/>
    <x v="1"/>
    <x v="31"/>
    <x v="1"/>
    <n v="5"/>
    <x v="215"/>
  </r>
  <r>
    <s v="Shawn Martin"/>
    <x v="4"/>
    <n v="1624.64"/>
    <s v="Printer"/>
    <x v="1"/>
    <x v="2"/>
    <x v="0"/>
    <x v="35"/>
    <x v="1"/>
    <n v="4"/>
    <x v="216"/>
  </r>
  <r>
    <s v="Melissa Cole"/>
    <x v="0"/>
    <n v="442.66"/>
    <s v="Mouse"/>
    <x v="0"/>
    <x v="1"/>
    <x v="3"/>
    <x v="22"/>
    <x v="0"/>
    <n v="2"/>
    <x v="217"/>
  </r>
  <r>
    <s v="Kevin Miller"/>
    <x v="2"/>
    <n v="1469.18"/>
    <s v="Smartwatch"/>
    <x v="1"/>
    <x v="0"/>
    <x v="1"/>
    <x v="17"/>
    <x v="0"/>
    <n v="4"/>
    <x v="218"/>
  </r>
  <r>
    <s v="Maria Jones"/>
    <x v="9"/>
    <n v="1304.49"/>
    <s v="Laptop"/>
    <x v="3"/>
    <x v="0"/>
    <x v="3"/>
    <x v="7"/>
    <x v="1"/>
    <n v="1"/>
    <x v="148"/>
  </r>
  <r>
    <s v="Yesenia Harris"/>
    <x v="8"/>
    <n v="195.91"/>
    <s v="Monitor"/>
    <x v="1"/>
    <x v="2"/>
    <x v="3"/>
    <x v="16"/>
    <x v="1"/>
    <n v="4"/>
    <x v="219"/>
  </r>
  <r>
    <s v="Kathy Conway"/>
    <x v="8"/>
    <n v="1719.7"/>
    <s v="Camera"/>
    <x v="2"/>
    <x v="0"/>
    <x v="2"/>
    <x v="34"/>
    <x v="1"/>
    <n v="5"/>
    <x v="77"/>
  </r>
  <r>
    <s v="Ruth Simmons"/>
    <x v="1"/>
    <n v="497.74"/>
    <s v="Camera"/>
    <x v="1"/>
    <x v="0"/>
    <x v="3"/>
    <x v="18"/>
    <x v="0"/>
    <n v="1"/>
    <x v="220"/>
  </r>
  <r>
    <s v="Penny Thomas"/>
    <x v="6"/>
    <n v="525.49"/>
    <s v="Tablet"/>
    <x v="1"/>
    <x v="0"/>
    <x v="1"/>
    <x v="7"/>
    <x v="1"/>
    <n v="1"/>
    <x v="221"/>
  </r>
  <r>
    <s v="Bridget Schwartz"/>
    <x v="7"/>
    <n v="992.12"/>
    <s v="Keyboard"/>
    <x v="2"/>
    <x v="1"/>
    <x v="0"/>
    <x v="15"/>
    <x v="1"/>
    <n v="1"/>
    <x v="96"/>
  </r>
  <r>
    <s v="Kevin Morrison"/>
    <x v="1"/>
    <n v="292"/>
    <s v="Monitor"/>
    <x v="1"/>
    <x v="2"/>
    <x v="0"/>
    <x v="8"/>
    <x v="1"/>
    <n v="3"/>
    <x v="222"/>
  </r>
  <r>
    <s v="Richard Colon"/>
    <x v="4"/>
    <n v="1796.13"/>
    <s v="Mouse"/>
    <x v="2"/>
    <x v="1"/>
    <x v="2"/>
    <x v="7"/>
    <x v="0"/>
    <n v="5"/>
    <x v="223"/>
  </r>
  <r>
    <s v="Victoria Roy"/>
    <x v="6"/>
    <n v="306.36"/>
    <s v="Printer"/>
    <x v="3"/>
    <x v="2"/>
    <x v="3"/>
    <x v="30"/>
    <x v="1"/>
    <n v="1"/>
    <x v="224"/>
  </r>
  <r>
    <s v="Jamie Campbell"/>
    <x v="9"/>
    <n v="1254.0999999999999"/>
    <s v="Mouse"/>
    <x v="3"/>
    <x v="1"/>
    <x v="0"/>
    <x v="18"/>
    <x v="1"/>
    <n v="3"/>
    <x v="128"/>
  </r>
  <r>
    <s v="Kimberly Rodriguez"/>
    <x v="8"/>
    <n v="1961.06"/>
    <s v="Headphones"/>
    <x v="1"/>
    <x v="1"/>
    <x v="1"/>
    <x v="30"/>
    <x v="1"/>
    <n v="5"/>
    <x v="208"/>
  </r>
  <r>
    <s v="Christopher Watts"/>
    <x v="0"/>
    <n v="1830.19"/>
    <s v="Mouse"/>
    <x v="3"/>
    <x v="1"/>
    <x v="3"/>
    <x v="38"/>
    <x v="1"/>
    <n v="3"/>
    <x v="225"/>
  </r>
  <r>
    <s v="Kristin Olson"/>
    <x v="7"/>
    <n v="839"/>
    <s v="Camera"/>
    <x v="1"/>
    <x v="0"/>
    <x v="3"/>
    <x v="29"/>
    <x v="1"/>
    <n v="2"/>
    <x v="13"/>
  </r>
  <r>
    <s v="Nicole Jackson"/>
    <x v="0"/>
    <n v="224.01"/>
    <s v="Printer"/>
    <x v="3"/>
    <x v="2"/>
    <x v="3"/>
    <x v="34"/>
    <x v="1"/>
    <n v="2"/>
    <x v="226"/>
  </r>
  <r>
    <s v="Sheila Davis"/>
    <x v="4"/>
    <n v="1595.67"/>
    <s v="Monitor"/>
    <x v="3"/>
    <x v="2"/>
    <x v="2"/>
    <x v="30"/>
    <x v="0"/>
    <n v="2"/>
    <x v="227"/>
  </r>
  <r>
    <s v="Austin Taylor"/>
    <x v="9"/>
    <n v="345.73"/>
    <s v="Mouse"/>
    <x v="3"/>
    <x v="1"/>
    <x v="3"/>
    <x v="3"/>
    <x v="0"/>
    <n v="2"/>
    <x v="228"/>
  </r>
  <r>
    <s v="Scott Wilson"/>
    <x v="9"/>
    <n v="1400.12"/>
    <s v="Smartphone"/>
    <x v="1"/>
    <x v="0"/>
    <x v="3"/>
    <x v="3"/>
    <x v="1"/>
    <n v="1"/>
    <x v="229"/>
  </r>
  <r>
    <s v="Jessica Riley"/>
    <x v="4"/>
    <n v="1592.52"/>
    <s v="Mouse"/>
    <x v="5"/>
    <x v="1"/>
    <x v="1"/>
    <x v="7"/>
    <x v="1"/>
    <n v="3"/>
    <x v="230"/>
  </r>
  <r>
    <s v="Sara White"/>
    <x v="4"/>
    <n v="34.94"/>
    <s v="Tablet"/>
    <x v="1"/>
    <x v="0"/>
    <x v="1"/>
    <x v="18"/>
    <x v="0"/>
    <n v="3"/>
    <x v="23"/>
  </r>
  <r>
    <s v="Matthew Krause"/>
    <x v="7"/>
    <n v="599.35"/>
    <s v="Keyboard"/>
    <x v="1"/>
    <x v="1"/>
    <x v="0"/>
    <x v="3"/>
    <x v="0"/>
    <n v="4"/>
    <x v="8"/>
  </r>
  <r>
    <s v="Timothy Davis"/>
    <x v="9"/>
    <n v="954.47"/>
    <s v="Keyboard"/>
    <x v="5"/>
    <x v="1"/>
    <x v="1"/>
    <x v="9"/>
    <x v="1"/>
    <n v="5"/>
    <x v="0"/>
  </r>
  <r>
    <s v="Laura Johnson"/>
    <x v="3"/>
    <n v="1275.67"/>
    <s v="Smartwatch"/>
    <x v="5"/>
    <x v="0"/>
    <x v="3"/>
    <x v="38"/>
    <x v="1"/>
    <n v="5"/>
    <x v="128"/>
  </r>
  <r>
    <s v="Jennifer Baker"/>
    <x v="5"/>
    <n v="1375.3"/>
    <s v="Camera"/>
    <x v="3"/>
    <x v="0"/>
    <x v="0"/>
    <x v="38"/>
    <x v="1"/>
    <n v="1"/>
    <x v="231"/>
  </r>
  <r>
    <s v="Christine Gilbert"/>
    <x v="0"/>
    <n v="1084.42"/>
    <s v="Laptop"/>
    <x v="0"/>
    <x v="0"/>
    <x v="3"/>
    <x v="29"/>
    <x v="1"/>
    <n v="5"/>
    <x v="232"/>
  </r>
  <r>
    <s v="Michael Snow"/>
    <x v="4"/>
    <n v="72.510000000000005"/>
    <s v="Laptop"/>
    <x v="0"/>
    <x v="0"/>
    <x v="3"/>
    <x v="21"/>
    <x v="1"/>
    <n v="5"/>
    <x v="233"/>
  </r>
  <r>
    <s v="Sarah Cherry"/>
    <x v="5"/>
    <n v="137.15"/>
    <s v="Mouse"/>
    <x v="1"/>
    <x v="1"/>
    <x v="1"/>
    <x v="19"/>
    <x v="1"/>
    <n v="1"/>
    <x v="234"/>
  </r>
  <r>
    <s v="Mathew Jordan"/>
    <x v="9"/>
    <n v="960.92"/>
    <s v="Printer"/>
    <x v="5"/>
    <x v="2"/>
    <x v="1"/>
    <x v="34"/>
    <x v="1"/>
    <n v="2"/>
    <x v="47"/>
  </r>
  <r>
    <s v="Gwendolyn Williams"/>
    <x v="0"/>
    <n v="1270.97"/>
    <s v="Camera"/>
    <x v="5"/>
    <x v="0"/>
    <x v="1"/>
    <x v="20"/>
    <x v="1"/>
    <n v="1"/>
    <x v="235"/>
  </r>
  <r>
    <s v="Barry Long"/>
    <x v="6"/>
    <n v="559.77"/>
    <s v="Smartphone"/>
    <x v="3"/>
    <x v="0"/>
    <x v="3"/>
    <x v="18"/>
    <x v="1"/>
    <n v="3"/>
    <x v="236"/>
  </r>
  <r>
    <s v="Amber Stokes"/>
    <x v="2"/>
    <n v="1369.99"/>
    <s v="Smartwatch"/>
    <x v="5"/>
    <x v="0"/>
    <x v="1"/>
    <x v="32"/>
    <x v="0"/>
    <n v="3"/>
    <x v="237"/>
  </r>
  <r>
    <s v="Nicholas Compton"/>
    <x v="1"/>
    <n v="274.95999999999998"/>
    <s v="Laptop"/>
    <x v="3"/>
    <x v="0"/>
    <x v="1"/>
    <x v="31"/>
    <x v="0"/>
    <n v="3"/>
    <x v="238"/>
  </r>
  <r>
    <s v="Mary Costa"/>
    <x v="2"/>
    <n v="905.4"/>
    <s v="Monitor"/>
    <x v="0"/>
    <x v="2"/>
    <x v="1"/>
    <x v="36"/>
    <x v="0"/>
    <n v="1"/>
    <x v="1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Seasons"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5">
  <location ref="A3:B23" firstHeaderRow="1" firstDataRow="1" firstDataCol="1"/>
  <pivotFields count="13">
    <pivotField showAll="0"/>
    <pivotField showAll="0"/>
    <pivotField dataField="1" showAll="0"/>
    <pivotField showAll="0"/>
    <pivotField showAll="0"/>
    <pivotField showAll="0">
      <items count="4">
        <item x="1"/>
        <item x="0"/>
        <item x="2"/>
        <item t="default"/>
      </items>
    </pivotField>
    <pivotField showAll="0">
      <items count="5">
        <item x="0"/>
        <item x="2"/>
        <item x="3"/>
        <item x="1"/>
        <item t="default"/>
      </items>
    </pivotField>
    <pivotField showAll="0">
      <items count="41">
        <item x="16"/>
        <item x="32"/>
        <item x="8"/>
        <item x="14"/>
        <item x="15"/>
        <item x="34"/>
        <item x="5"/>
        <item x="17"/>
        <item x="39"/>
        <item x="35"/>
        <item x="33"/>
        <item x="29"/>
        <item x="19"/>
        <item x="10"/>
        <item x="24"/>
        <item x="0"/>
        <item x="21"/>
        <item x="4"/>
        <item x="30"/>
        <item x="22"/>
        <item x="11"/>
        <item x="26"/>
        <item x="37"/>
        <item x="38"/>
        <item x="9"/>
        <item x="12"/>
        <item x="27"/>
        <item x="1"/>
        <item x="3"/>
        <item x="6"/>
        <item x="13"/>
        <item x="18"/>
        <item x="36"/>
        <item x="20"/>
        <item x="23"/>
        <item x="25"/>
        <item x="28"/>
        <item x="2"/>
        <item x="31"/>
        <item x="7"/>
        <item t="default"/>
      </items>
    </pivotField>
    <pivotField showAll="0">
      <items count="3">
        <item x="0"/>
        <item x="1"/>
        <item t="default"/>
      </items>
    </pivotField>
    <pivotField showAll="0"/>
    <pivotField axis="axisRow" numFmtId="14" showAll="0">
      <items count="15">
        <item x="0"/>
        <item x="1"/>
        <item x="2"/>
        <item x="3"/>
        <item x="4"/>
        <item x="5"/>
        <item x="6"/>
        <item x="7"/>
        <item x="8"/>
        <item x="9"/>
        <item x="10"/>
        <item x="11"/>
        <item x="12"/>
        <item x="13"/>
        <item t="default"/>
      </items>
    </pivotField>
    <pivotField axis="axisRow" showAll="0" defaultSubtotal="0">
      <items count="6">
        <item sd="0" x="0"/>
        <item sd="0" x="1"/>
        <item x="2"/>
        <item sd="0" x="3"/>
        <item sd="0" x="4"/>
        <item sd="0" x="5"/>
      </items>
    </pivotField>
    <pivotField axis="axisRow" showAll="0" defaultSubtotal="0">
      <items count="5">
        <item sd="0" x="0"/>
        <item x="1"/>
        <item x="2"/>
        <item x="3"/>
        <item sd="0" x="4"/>
      </items>
    </pivotField>
  </pivotFields>
  <rowFields count="3">
    <field x="12"/>
    <field x="11"/>
    <field x="10"/>
  </rowFields>
  <rowItems count="20">
    <i>
      <x v="1"/>
    </i>
    <i r="1">
      <x v="2"/>
    </i>
    <i r="2">
      <x v="6"/>
    </i>
    <i r="1">
      <x v="3"/>
    </i>
    <i r="1">
      <x v="4"/>
    </i>
    <i>
      <x v="2"/>
    </i>
    <i r="1">
      <x v="1"/>
    </i>
    <i r="1">
      <x v="2"/>
    </i>
    <i r="2">
      <x v="4"/>
    </i>
    <i r="2">
      <x v="5"/>
    </i>
    <i r="2">
      <x v="6"/>
    </i>
    <i r="1">
      <x v="3"/>
    </i>
    <i r="1">
      <x v="4"/>
    </i>
    <i>
      <x v="3"/>
    </i>
    <i r="1">
      <x v="1"/>
    </i>
    <i r="1">
      <x v="2"/>
    </i>
    <i r="2">
      <x v="4"/>
    </i>
    <i r="2">
      <x v="5"/>
    </i>
    <i r="2">
      <x v="6"/>
    </i>
    <i t="grand">
      <x/>
    </i>
  </rowItems>
  <colItems count="1">
    <i/>
  </colItems>
  <dataFields count="1">
    <dataField name="Sum of Purchase Amount" fld="2" baseField="0" baseItem="0"/>
  </dataFields>
  <formats count="4">
    <format dxfId="19">
      <pivotArea outline="0" collapsedLevelsAreSubtotals="1" fieldPosition="0"/>
    </format>
    <format dxfId="18">
      <pivotArea field="8" type="button" dataOnly="0" labelOnly="1" outline="0"/>
    </format>
    <format dxfId="17">
      <pivotArea type="topRight" dataOnly="0" labelOnly="1" outline="0" fieldPosition="0"/>
    </format>
    <format dxfId="16">
      <pivotArea grandRow="1"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Stat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13">
    <pivotField showAll="0"/>
    <pivotField axis="axisRow" showAll="0">
      <items count="11">
        <item x="5"/>
        <item x="0"/>
        <item x="4"/>
        <item x="7"/>
        <item x="1"/>
        <item x="9"/>
        <item x="8"/>
        <item x="3"/>
        <item x="2"/>
        <item x="6"/>
        <item t="default"/>
      </items>
    </pivotField>
    <pivotField dataField="1" showAll="0"/>
    <pivotField showAll="0"/>
    <pivotField showAll="0"/>
    <pivotField showAll="0">
      <items count="4">
        <item x="1"/>
        <item x="0"/>
        <item x="2"/>
        <item t="default"/>
      </items>
    </pivotField>
    <pivotField showAll="0">
      <items count="5">
        <item x="0"/>
        <item x="2"/>
        <item x="3"/>
        <item x="1"/>
        <item t="default"/>
      </items>
    </pivotField>
    <pivotField showAll="0"/>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11">
    <i>
      <x/>
    </i>
    <i>
      <x v="1"/>
    </i>
    <i>
      <x v="2"/>
    </i>
    <i>
      <x v="3"/>
    </i>
    <i>
      <x v="4"/>
    </i>
    <i>
      <x v="5"/>
    </i>
    <i>
      <x v="6"/>
    </i>
    <i>
      <x v="7"/>
    </i>
    <i>
      <x v="8"/>
    </i>
    <i>
      <x v="9"/>
    </i>
    <i t="grand">
      <x/>
    </i>
  </rowItems>
  <colItems count="1">
    <i/>
  </colItems>
  <dataFields count="1">
    <dataField name="Sum of Purchase Amount" fld="2" baseField="0" baseItem="0"/>
  </dataFields>
  <chartFormats count="2">
    <chartFormat chart="4" format="2"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3">
    <pivotField showAll="0"/>
    <pivotField showAll="0"/>
    <pivotField dataField="1" showAll="0"/>
    <pivotField showAll="0"/>
    <pivotField showAll="0"/>
    <pivotField axis="axisRow" showAll="0">
      <items count="4">
        <item x="1"/>
        <item x="0"/>
        <item x="2"/>
        <item t="default"/>
      </items>
    </pivotField>
    <pivotField showAll="0">
      <items count="5">
        <item x="0"/>
        <item x="2"/>
        <item x="3"/>
        <item x="1"/>
        <item t="default"/>
      </items>
    </pivotField>
    <pivotField showAll="0"/>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4">
    <i>
      <x/>
    </i>
    <i>
      <x v="1"/>
    </i>
    <i>
      <x v="2"/>
    </i>
    <i t="grand">
      <x/>
    </i>
  </rowItems>
  <colItems count="1">
    <i/>
  </colItems>
  <dataFields count="1">
    <dataField name="Sum of Purchase Amount" fld="2"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 chart="3" format="11">
      <pivotArea type="data" outline="0" fieldPosition="0">
        <references count="2">
          <reference field="4294967294" count="1" selected="0">
            <x v="0"/>
          </reference>
          <reference field="5" count="1" selected="0">
            <x v="1"/>
          </reference>
        </references>
      </pivotArea>
    </chartFormat>
    <chartFormat chart="3" format="1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Shipp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7" firstHeaderRow="1" firstDataRow="1" firstDataCol="1"/>
  <pivotFields count="13">
    <pivotField showAll="0"/>
    <pivotField showAll="0"/>
    <pivotField dataField="1" showAll="0"/>
    <pivotField showAll="0"/>
    <pivotField axis="axisRow" showAll="0" sortType="ascending">
      <items count="7">
        <item x="0"/>
        <item x="5"/>
        <item x="1"/>
        <item x="2"/>
        <item x="3"/>
        <item x="4"/>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5">
        <item x="0"/>
        <item x="2"/>
        <item x="3"/>
        <item x="1"/>
        <item t="default"/>
      </items>
    </pivotField>
    <pivotField showAll="0"/>
    <pivotField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7">
    <i>
      <x/>
    </i>
    <i>
      <x v="5"/>
    </i>
    <i>
      <x v="1"/>
    </i>
    <i>
      <x v="2"/>
    </i>
    <i>
      <x v="3"/>
    </i>
    <i>
      <x v="4"/>
    </i>
    <i t="grand">
      <x/>
    </i>
  </rowItems>
  <colItems count="1">
    <i/>
  </colItems>
  <dataFields count="1">
    <dataField name="Sum of Purchase Amount" fld="2"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Category,Season"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4:B8" firstHeaderRow="1" firstDataRow="1" firstDataCol="1" rowPageCount="2" colPageCount="1"/>
  <pivotFields count="13">
    <pivotField showAll="0"/>
    <pivotField showAll="0"/>
    <pivotField dataField="1" showAll="0"/>
    <pivotField showAll="0"/>
    <pivotField showAll="0"/>
    <pivotField axis="axisRow" showAll="0">
      <items count="4">
        <item x="1"/>
        <item x="0"/>
        <item x="2"/>
        <item t="default"/>
      </items>
    </pivotField>
    <pivotField axis="axisPage" showAll="0">
      <items count="5">
        <item x="0"/>
        <item x="2"/>
        <item x="3"/>
        <item x="1"/>
        <item t="default"/>
      </items>
    </pivotField>
    <pivotField showAll="0"/>
    <pivotField axis="axisPage"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4">
    <i>
      <x/>
    </i>
    <i>
      <x v="1"/>
    </i>
    <i>
      <x v="2"/>
    </i>
    <i t="grand">
      <x/>
    </i>
  </rowItems>
  <colItems count="1">
    <i/>
  </colItems>
  <pageFields count="2">
    <pageField fld="6" hier="-1"/>
    <pageField fld="8" hier="-1"/>
  </pageFields>
  <dataFields count="1">
    <dataField name="Sum of Purchase Amount" fld="2"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 name="Seasons"/>
    <pivotTable tabId="6" name="Category,Season"/>
    <pivotTable tabId="4" name="States"/>
    <pivotTable tabId="5" name="Category"/>
    <pivotTable tabId="5" name="Shipping"/>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2000000}" sourceName="Season">
  <pivotTables>
    <pivotTable tabId="2" name="Seasons"/>
    <pivotTable tabId="6" name="Category,Season"/>
    <pivotTable tabId="4" name="States"/>
    <pivotTable tabId="5" name="Category"/>
    <pivotTable tabId="5" name="Shipping"/>
  </pivotTables>
  <data>
    <tabular pivotCacheId="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3000000}" sourceName="Gender">
  <pivotTables>
    <pivotTable tabId="2" name="Seasons"/>
    <pivotTable tabId="6" name="Category,Season"/>
    <pivotTable tabId="4" name="States"/>
    <pivotTable tabId="5" name="Category"/>
    <pivotTable tabId="5" name="Shipping"/>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columnCount="3" style="SlicerStyleLight2" rowHeight="241300"/>
  <slicer name="Season" xr10:uid="{00000000-0014-0000-FFFF-FFFF02000000}" cache="Slicer_Season" caption="Season" style="SlicerStyleLight6" rowHeight="241300"/>
  <slicer name="Gender" xr10:uid="{00000000-0014-0000-FFFF-FFFF03000000}" cache="Slicer_Gender" caption="Gender"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2D0649-5526-4D3D-92BA-FC52369B5660}" name="Table2" displayName="Table2" ref="A3:K93" totalsRowShown="0">
  <autoFilter ref="A3:K93" xr:uid="{962D0649-5526-4D3D-92BA-FC52369B5660}"/>
  <tableColumns count="11">
    <tableColumn id="1" xr3:uid="{CD1596ED-A14E-47E2-8C8B-1F0328656BE7}" name="Customer Name"/>
    <tableColumn id="2" xr3:uid="{58357682-77CB-49B8-9D37-382E721C639D}" name="State"/>
    <tableColumn id="3" xr3:uid="{2BC081D9-C929-4A9B-A4A5-E2E946CA7060}" name="Purchase Amount"/>
    <tableColumn id="4" xr3:uid="{7186A562-0238-4A00-8F2A-C79892F6131F}" name="Item Purchased"/>
    <tableColumn id="5" xr3:uid="{339F8E50-5BC9-4036-B184-13934A5B6E57}" name="Shipping Type"/>
    <tableColumn id="6" xr3:uid="{4229D911-C300-451A-A14D-CEE828830F3A}" name="Category"/>
    <tableColumn id="7" xr3:uid="{C893730F-97A6-4477-83F7-43CDD8CC5B98}" name="Season"/>
    <tableColumn id="8" xr3:uid="{BD2FEBD8-EC9E-4855-B8F3-CE3D04BC1F38}" name="Age"/>
    <tableColumn id="9" xr3:uid="{E511FE72-F70F-4329-A0E0-31B24865002F}" name="Gender"/>
    <tableColumn id="10" xr3:uid="{53D25C24-5454-41D9-B165-763D7D10DBD4}" name="Review Rating"/>
    <tableColumn id="11" xr3:uid="{F4B6E968-D72E-4990-9A92-E69E55C20935}" name="Date"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K301" totalsRowShown="0" headerRowDxfId="15" headerRowBorderDxfId="14" tableBorderDxfId="13" totalsRowBorderDxfId="12">
  <tableColumns count="11">
    <tableColumn id="1" xr3:uid="{00000000-0010-0000-0000-000001000000}" name="Customer Name" dataDxfId="11"/>
    <tableColumn id="2" xr3:uid="{00000000-0010-0000-0000-000002000000}" name="State" dataDxfId="10"/>
    <tableColumn id="3" xr3:uid="{00000000-0010-0000-0000-000003000000}" name="Purchase Amount" dataDxfId="9"/>
    <tableColumn id="4" xr3:uid="{00000000-0010-0000-0000-000004000000}" name="Item Purchased" dataDxfId="8"/>
    <tableColumn id="5" xr3:uid="{00000000-0010-0000-0000-000005000000}" name="Shipping Type" dataDxfId="7"/>
    <tableColumn id="6" xr3:uid="{00000000-0010-0000-0000-000006000000}" name="Category" dataDxfId="6"/>
    <tableColumn id="7" xr3:uid="{00000000-0010-0000-0000-000007000000}" name="Season" dataDxfId="5"/>
    <tableColumn id="8" xr3:uid="{00000000-0010-0000-0000-000008000000}" name="Age" dataDxfId="4"/>
    <tableColumn id="9" xr3:uid="{00000000-0010-0000-0000-000009000000}" name="Gender" dataDxfId="3"/>
    <tableColumn id="10" xr3:uid="{00000000-0010-0000-0000-00000A000000}" name="Review Rating" dataDxfId="2"/>
    <tableColumn id="11" xr3:uid="{00000000-0010-0000-0000-00000B000000}" name="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290"/>
  <sheetViews>
    <sheetView zoomScale="55" workbookViewId="0">
      <selection activeCell="A5" sqref="A5"/>
    </sheetView>
  </sheetViews>
  <sheetFormatPr defaultRowHeight="14.5" x14ac:dyDescent="0.35"/>
  <cols>
    <col min="1" max="1" width="13.1796875" customWidth="1"/>
    <col min="2" max="2" width="23.54296875" style="14" bestFit="1" customWidth="1"/>
    <col min="3" max="3" width="10.54296875" style="14" bestFit="1" customWidth="1"/>
    <col min="4" max="4" width="11.26953125" bestFit="1" customWidth="1"/>
  </cols>
  <sheetData>
    <row r="3" spans="1:3" x14ac:dyDescent="0.35">
      <c r="A3" s="12" t="s">
        <v>344</v>
      </c>
      <c r="B3" s="14" t="s">
        <v>346</v>
      </c>
      <c r="C3"/>
    </row>
    <row r="4" spans="1:3" x14ac:dyDescent="0.35">
      <c r="A4" s="13" t="s">
        <v>348</v>
      </c>
      <c r="C4"/>
    </row>
    <row r="5" spans="1:3" x14ac:dyDescent="0.35">
      <c r="A5" s="16" t="s">
        <v>349</v>
      </c>
      <c r="C5"/>
    </row>
    <row r="6" spans="1:3" x14ac:dyDescent="0.35">
      <c r="A6" s="17" t="s">
        <v>350</v>
      </c>
      <c r="B6" s="14">
        <v>2727.46</v>
      </c>
      <c r="C6"/>
    </row>
    <row r="7" spans="1:3" x14ac:dyDescent="0.35">
      <c r="A7" s="16" t="s">
        <v>351</v>
      </c>
      <c r="B7" s="14">
        <v>42222.380000000012</v>
      </c>
      <c r="C7"/>
    </row>
    <row r="8" spans="1:3" x14ac:dyDescent="0.35">
      <c r="A8" s="16" t="s">
        <v>352</v>
      </c>
      <c r="B8" s="14">
        <v>31102.159999999996</v>
      </c>
      <c r="C8"/>
    </row>
    <row r="9" spans="1:3" x14ac:dyDescent="0.35">
      <c r="A9" s="13" t="s">
        <v>353</v>
      </c>
    </row>
    <row r="10" spans="1:3" x14ac:dyDescent="0.35">
      <c r="A10" s="16" t="s">
        <v>354</v>
      </c>
      <c r="B10" s="14">
        <v>32928.400000000001</v>
      </c>
    </row>
    <row r="11" spans="1:3" x14ac:dyDescent="0.35">
      <c r="A11" s="16" t="s">
        <v>349</v>
      </c>
    </row>
    <row r="12" spans="1:3" x14ac:dyDescent="0.35">
      <c r="A12" s="17" t="s">
        <v>355</v>
      </c>
      <c r="B12" s="14">
        <v>12924.689999999999</v>
      </c>
    </row>
    <row r="13" spans="1:3" x14ac:dyDescent="0.35">
      <c r="A13" s="17" t="s">
        <v>356</v>
      </c>
      <c r="B13" s="14">
        <v>13805.24</v>
      </c>
    </row>
    <row r="14" spans="1:3" x14ac:dyDescent="0.35">
      <c r="A14" s="17" t="s">
        <v>350</v>
      </c>
      <c r="B14" s="14">
        <v>12003.13</v>
      </c>
    </row>
    <row r="15" spans="1:3" x14ac:dyDescent="0.35">
      <c r="A15" s="16" t="s">
        <v>351</v>
      </c>
      <c r="B15" s="14">
        <v>38118.099999999991</v>
      </c>
    </row>
    <row r="16" spans="1:3" x14ac:dyDescent="0.35">
      <c r="A16" s="16" t="s">
        <v>352</v>
      </c>
      <c r="B16" s="14">
        <v>48847.590000000004</v>
      </c>
    </row>
    <row r="17" spans="1:2" x14ac:dyDescent="0.35">
      <c r="A17" s="13" t="s">
        <v>357</v>
      </c>
    </row>
    <row r="18" spans="1:2" x14ac:dyDescent="0.35">
      <c r="A18" s="16" t="s">
        <v>354</v>
      </c>
      <c r="B18" s="14">
        <v>47270.009999999995</v>
      </c>
    </row>
    <row r="19" spans="1:2" x14ac:dyDescent="0.35">
      <c r="A19" s="16" t="s">
        <v>349</v>
      </c>
    </row>
    <row r="20" spans="1:2" x14ac:dyDescent="0.35">
      <c r="A20" s="17" t="s">
        <v>355</v>
      </c>
      <c r="B20" s="14">
        <v>6351.8</v>
      </c>
    </row>
    <row r="21" spans="1:2" x14ac:dyDescent="0.35">
      <c r="A21" s="17" t="s">
        <v>356</v>
      </c>
      <c r="B21" s="14">
        <v>12986.84</v>
      </c>
    </row>
    <row r="22" spans="1:2" x14ac:dyDescent="0.35">
      <c r="A22" s="17" t="s">
        <v>350</v>
      </c>
      <c r="B22" s="14">
        <v>4407.37</v>
      </c>
    </row>
    <row r="23" spans="1:2" x14ac:dyDescent="0.35">
      <c r="A23" s="13" t="s">
        <v>345</v>
      </c>
      <c r="B23" s="15">
        <v>305695.17</v>
      </c>
    </row>
    <row r="24" spans="1:2" x14ac:dyDescent="0.35">
      <c r="B24"/>
    </row>
    <row r="25" spans="1:2" x14ac:dyDescent="0.35">
      <c r="B25"/>
    </row>
    <row r="26" spans="1:2" x14ac:dyDescent="0.35">
      <c r="B26"/>
    </row>
    <row r="27" spans="1:2" x14ac:dyDescent="0.35">
      <c r="B27"/>
    </row>
    <row r="28" spans="1:2" x14ac:dyDescent="0.35">
      <c r="B28"/>
    </row>
    <row r="29" spans="1:2" x14ac:dyDescent="0.35">
      <c r="B29"/>
    </row>
    <row r="30" spans="1:2" x14ac:dyDescent="0.35">
      <c r="B30"/>
    </row>
    <row r="31" spans="1:2" x14ac:dyDescent="0.35">
      <c r="B31"/>
    </row>
    <row r="32" spans="1: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4"/>
  <sheetViews>
    <sheetView zoomScale="55" workbookViewId="0">
      <selection activeCell="A6" sqref="A6"/>
    </sheetView>
  </sheetViews>
  <sheetFormatPr defaultRowHeight="14.5" x14ac:dyDescent="0.35"/>
  <cols>
    <col min="1" max="1" width="14" bestFit="1" customWidth="1"/>
    <col min="2" max="2" width="23.54296875" bestFit="1" customWidth="1"/>
  </cols>
  <sheetData>
    <row r="3" spans="1:2" x14ac:dyDescent="0.35">
      <c r="A3" s="12" t="s">
        <v>344</v>
      </c>
      <c r="B3" t="s">
        <v>346</v>
      </c>
    </row>
    <row r="4" spans="1:2" x14ac:dyDescent="0.35">
      <c r="A4" s="13" t="s">
        <v>38</v>
      </c>
      <c r="B4">
        <v>44929.48</v>
      </c>
    </row>
    <row r="5" spans="1:2" x14ac:dyDescent="0.35">
      <c r="A5" s="13" t="s">
        <v>12</v>
      </c>
      <c r="B5">
        <v>30738.199999999997</v>
      </c>
    </row>
    <row r="6" spans="1:2" x14ac:dyDescent="0.35">
      <c r="A6" s="13" t="s">
        <v>35</v>
      </c>
      <c r="B6">
        <v>34160.400000000001</v>
      </c>
    </row>
    <row r="7" spans="1:2" x14ac:dyDescent="0.35">
      <c r="A7" s="13" t="s">
        <v>55</v>
      </c>
      <c r="B7">
        <v>33079.549999999996</v>
      </c>
    </row>
    <row r="8" spans="1:2" x14ac:dyDescent="0.35">
      <c r="A8" s="13" t="s">
        <v>19</v>
      </c>
      <c r="B8">
        <v>23699.229999999996</v>
      </c>
    </row>
    <row r="9" spans="1:2" x14ac:dyDescent="0.35">
      <c r="A9" s="13" t="s">
        <v>72</v>
      </c>
      <c r="B9">
        <v>31934.23</v>
      </c>
    </row>
    <row r="10" spans="1:2" x14ac:dyDescent="0.35">
      <c r="A10" s="13" t="s">
        <v>65</v>
      </c>
      <c r="B10">
        <v>27132.020000000004</v>
      </c>
    </row>
    <row r="11" spans="1:2" x14ac:dyDescent="0.35">
      <c r="A11" s="13" t="s">
        <v>30</v>
      </c>
      <c r="B11">
        <v>29571.869999999988</v>
      </c>
    </row>
    <row r="12" spans="1:2" x14ac:dyDescent="0.35">
      <c r="A12" s="13" t="s">
        <v>26</v>
      </c>
      <c r="B12">
        <v>25618.170000000006</v>
      </c>
    </row>
    <row r="13" spans="1:2" x14ac:dyDescent="0.35">
      <c r="A13" s="13" t="s">
        <v>42</v>
      </c>
      <c r="B13">
        <v>24832.020000000008</v>
      </c>
    </row>
    <row r="14" spans="1:2" x14ac:dyDescent="0.35">
      <c r="A14" s="13" t="s">
        <v>345</v>
      </c>
      <c r="B14">
        <v>305695.17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27"/>
  <sheetViews>
    <sheetView zoomScale="58" workbookViewId="0">
      <selection activeCell="A4" sqref="A4"/>
    </sheetView>
  </sheetViews>
  <sheetFormatPr defaultRowHeight="14.5" x14ac:dyDescent="0.35"/>
  <cols>
    <col min="1" max="1" width="18.54296875" customWidth="1"/>
    <col min="2" max="2" width="23.54296875" bestFit="1" customWidth="1"/>
  </cols>
  <sheetData>
    <row r="3" spans="1:2" x14ac:dyDescent="0.35">
      <c r="A3" s="12" t="s">
        <v>344</v>
      </c>
      <c r="B3" t="s">
        <v>346</v>
      </c>
    </row>
    <row r="4" spans="1:2" x14ac:dyDescent="0.35">
      <c r="A4" s="13" t="s">
        <v>22</v>
      </c>
      <c r="B4">
        <v>95228.790000000023</v>
      </c>
    </row>
    <row r="5" spans="1:2" x14ac:dyDescent="0.35">
      <c r="A5" s="13" t="s">
        <v>15</v>
      </c>
      <c r="B5">
        <v>150907.24000000002</v>
      </c>
    </row>
    <row r="6" spans="1:2" x14ac:dyDescent="0.35">
      <c r="A6" s="13" t="s">
        <v>50</v>
      </c>
      <c r="B6">
        <v>59559.140000000007</v>
      </c>
    </row>
    <row r="7" spans="1:2" x14ac:dyDescent="0.35">
      <c r="A7" s="13" t="s">
        <v>345</v>
      </c>
      <c r="B7">
        <v>305695.17000000004</v>
      </c>
    </row>
    <row r="20" spans="1:2" x14ac:dyDescent="0.35">
      <c r="A20" s="12" t="s">
        <v>344</v>
      </c>
      <c r="B20" t="s">
        <v>346</v>
      </c>
    </row>
    <row r="21" spans="1:2" x14ac:dyDescent="0.35">
      <c r="A21" s="13" t="s">
        <v>14</v>
      </c>
      <c r="B21">
        <v>16646.310000000001</v>
      </c>
    </row>
    <row r="22" spans="1:2" x14ac:dyDescent="0.35">
      <c r="A22" s="13" t="s">
        <v>92</v>
      </c>
      <c r="B22">
        <v>23273.219999999998</v>
      </c>
    </row>
    <row r="23" spans="1:2" x14ac:dyDescent="0.35">
      <c r="A23" s="13" t="s">
        <v>226</v>
      </c>
      <c r="B23">
        <v>25128.650000000005</v>
      </c>
    </row>
    <row r="24" spans="1:2" x14ac:dyDescent="0.35">
      <c r="A24" s="13" t="s">
        <v>21</v>
      </c>
      <c r="B24">
        <v>71711.380000000019</v>
      </c>
    </row>
    <row r="25" spans="1:2" x14ac:dyDescent="0.35">
      <c r="A25" s="13" t="s">
        <v>32</v>
      </c>
      <c r="B25">
        <v>73603.840000000011</v>
      </c>
    </row>
    <row r="26" spans="1:2" x14ac:dyDescent="0.35">
      <c r="A26" s="13" t="s">
        <v>47</v>
      </c>
      <c r="B26">
        <v>95331.76999999999</v>
      </c>
    </row>
    <row r="27" spans="1:2" x14ac:dyDescent="0.35">
      <c r="A27" s="13" t="s">
        <v>345</v>
      </c>
      <c r="B27">
        <v>305695.17000000004</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749F-CCE5-4A31-82C0-91037080963A}">
  <dimension ref="A1:K93"/>
  <sheetViews>
    <sheetView zoomScale="44" workbookViewId="0">
      <selection activeCell="I4" sqref="I4"/>
    </sheetView>
  </sheetViews>
  <sheetFormatPr defaultRowHeight="14.5" x14ac:dyDescent="0.35"/>
  <cols>
    <col min="1" max="1" width="18.08984375" bestFit="1" customWidth="1"/>
    <col min="2" max="2" width="13.08984375" bestFit="1" customWidth="1"/>
    <col min="3" max="3" width="18.08984375" bestFit="1" customWidth="1"/>
    <col min="4" max="4" width="16.26953125" bestFit="1" customWidth="1"/>
    <col min="5" max="5" width="17.1796875" bestFit="1" customWidth="1"/>
    <col min="6" max="6" width="10.54296875" bestFit="1" customWidth="1"/>
    <col min="7" max="7" width="9" bestFit="1" customWidth="1"/>
    <col min="8" max="8" width="8.81640625" bestFit="1" customWidth="1"/>
    <col min="9" max="9" width="9.26953125" bestFit="1" customWidth="1"/>
    <col min="10" max="10" width="14.7265625" bestFit="1" customWidth="1"/>
    <col min="11" max="11" width="10.453125" bestFit="1" customWidth="1"/>
  </cols>
  <sheetData>
    <row r="1" spans="1:11" x14ac:dyDescent="0.35">
      <c r="A1" s="24" t="s">
        <v>362</v>
      </c>
    </row>
    <row r="3" spans="1:11" x14ac:dyDescent="0.35">
      <c r="A3" t="s">
        <v>0</v>
      </c>
      <c r="B3" t="s">
        <v>1</v>
      </c>
      <c r="C3" t="s">
        <v>2</v>
      </c>
      <c r="D3" t="s">
        <v>3</v>
      </c>
      <c r="E3" t="s">
        <v>4</v>
      </c>
      <c r="F3" t="s">
        <v>5</v>
      </c>
      <c r="G3" t="s">
        <v>6</v>
      </c>
      <c r="H3" t="s">
        <v>7</v>
      </c>
      <c r="I3" t="s">
        <v>8</v>
      </c>
      <c r="J3" t="s">
        <v>9</v>
      </c>
      <c r="K3" t="s">
        <v>10</v>
      </c>
    </row>
    <row r="4" spans="1:11" x14ac:dyDescent="0.35">
      <c r="A4" t="s">
        <v>337</v>
      </c>
      <c r="B4" t="s">
        <v>38</v>
      </c>
      <c r="C4">
        <v>137.15</v>
      </c>
      <c r="D4" t="s">
        <v>20</v>
      </c>
      <c r="E4" t="s">
        <v>21</v>
      </c>
      <c r="F4" t="s">
        <v>22</v>
      </c>
      <c r="G4" t="s">
        <v>23</v>
      </c>
      <c r="H4">
        <v>32</v>
      </c>
      <c r="I4" t="s">
        <v>24</v>
      </c>
      <c r="J4">
        <v>1</v>
      </c>
      <c r="K4" s="3">
        <v>45166</v>
      </c>
    </row>
    <row r="5" spans="1:11" x14ac:dyDescent="0.35">
      <c r="A5" t="s">
        <v>18</v>
      </c>
      <c r="B5" t="s">
        <v>19</v>
      </c>
      <c r="C5">
        <v>1084.68</v>
      </c>
      <c r="D5" t="s">
        <v>20</v>
      </c>
      <c r="E5" t="s">
        <v>21</v>
      </c>
      <c r="F5" t="s">
        <v>22</v>
      </c>
      <c r="G5" t="s">
        <v>23</v>
      </c>
      <c r="H5">
        <v>47</v>
      </c>
      <c r="I5" t="s">
        <v>24</v>
      </c>
      <c r="J5">
        <v>5</v>
      </c>
      <c r="K5" s="3">
        <v>45705</v>
      </c>
    </row>
    <row r="6" spans="1:11" x14ac:dyDescent="0.35">
      <c r="A6" t="s">
        <v>25</v>
      </c>
      <c r="B6" t="s">
        <v>26</v>
      </c>
      <c r="C6">
        <v>910.25</v>
      </c>
      <c r="D6" t="s">
        <v>27</v>
      </c>
      <c r="E6" t="s">
        <v>21</v>
      </c>
      <c r="F6" t="s">
        <v>22</v>
      </c>
      <c r="G6" t="s">
        <v>28</v>
      </c>
      <c r="H6">
        <v>58</v>
      </c>
      <c r="I6" t="s">
        <v>17</v>
      </c>
      <c r="J6">
        <v>5</v>
      </c>
      <c r="K6" s="3">
        <v>45728</v>
      </c>
    </row>
    <row r="7" spans="1:11" x14ac:dyDescent="0.35">
      <c r="A7" t="s">
        <v>333</v>
      </c>
      <c r="B7" t="s">
        <v>72</v>
      </c>
      <c r="C7">
        <v>954.47</v>
      </c>
      <c r="D7" t="s">
        <v>39</v>
      </c>
      <c r="E7" t="s">
        <v>226</v>
      </c>
      <c r="F7" t="s">
        <v>22</v>
      </c>
      <c r="G7" t="s">
        <v>23</v>
      </c>
      <c r="H7">
        <v>44</v>
      </c>
      <c r="I7" t="s">
        <v>24</v>
      </c>
      <c r="J7">
        <v>5</v>
      </c>
      <c r="K7" s="3">
        <v>45257</v>
      </c>
    </row>
    <row r="8" spans="1:11" x14ac:dyDescent="0.35">
      <c r="A8" t="s">
        <v>332</v>
      </c>
      <c r="B8" t="s">
        <v>55</v>
      </c>
      <c r="C8">
        <v>599.35</v>
      </c>
      <c r="D8" t="s">
        <v>39</v>
      </c>
      <c r="E8" t="s">
        <v>21</v>
      </c>
      <c r="F8" t="s">
        <v>22</v>
      </c>
      <c r="G8" t="s">
        <v>16</v>
      </c>
      <c r="H8">
        <v>48</v>
      </c>
      <c r="I8" t="s">
        <v>17</v>
      </c>
      <c r="J8">
        <v>4</v>
      </c>
      <c r="K8" s="3">
        <v>45527</v>
      </c>
    </row>
    <row r="9" spans="1:11" x14ac:dyDescent="0.35">
      <c r="A9" t="s">
        <v>37</v>
      </c>
      <c r="B9" t="s">
        <v>38</v>
      </c>
      <c r="C9">
        <v>513.16999999999996</v>
      </c>
      <c r="D9" t="s">
        <v>39</v>
      </c>
      <c r="E9" t="s">
        <v>32</v>
      </c>
      <c r="F9" t="s">
        <v>22</v>
      </c>
      <c r="G9" t="s">
        <v>23</v>
      </c>
      <c r="H9">
        <v>26</v>
      </c>
      <c r="I9" t="s">
        <v>17</v>
      </c>
      <c r="J9">
        <v>5</v>
      </c>
      <c r="K9" s="3">
        <v>45156</v>
      </c>
    </row>
    <row r="10" spans="1:11" x14ac:dyDescent="0.35">
      <c r="A10" t="s">
        <v>40</v>
      </c>
      <c r="B10" t="s">
        <v>19</v>
      </c>
      <c r="C10">
        <v>1847.98</v>
      </c>
      <c r="D10" t="s">
        <v>27</v>
      </c>
      <c r="E10" t="s">
        <v>21</v>
      </c>
      <c r="F10" t="s">
        <v>22</v>
      </c>
      <c r="G10" t="s">
        <v>28</v>
      </c>
      <c r="H10">
        <v>49</v>
      </c>
      <c r="I10" t="s">
        <v>17</v>
      </c>
      <c r="J10">
        <v>3</v>
      </c>
      <c r="K10" s="3">
        <v>45136</v>
      </c>
    </row>
    <row r="11" spans="1:11" x14ac:dyDescent="0.35">
      <c r="A11" t="s">
        <v>330</v>
      </c>
      <c r="B11" t="s">
        <v>35</v>
      </c>
      <c r="C11">
        <v>1592.52</v>
      </c>
      <c r="D11" t="s">
        <v>20</v>
      </c>
      <c r="E11" t="s">
        <v>226</v>
      </c>
      <c r="F11" t="s">
        <v>22</v>
      </c>
      <c r="G11" t="s">
        <v>23</v>
      </c>
      <c r="H11">
        <v>60</v>
      </c>
      <c r="I11" t="s">
        <v>24</v>
      </c>
      <c r="J11">
        <v>3</v>
      </c>
      <c r="K11" s="3">
        <v>45451</v>
      </c>
    </row>
    <row r="12" spans="1:11" x14ac:dyDescent="0.35">
      <c r="A12" t="s">
        <v>328</v>
      </c>
      <c r="B12" t="s">
        <v>72</v>
      </c>
      <c r="C12">
        <v>345.73</v>
      </c>
      <c r="D12" t="s">
        <v>20</v>
      </c>
      <c r="E12" t="s">
        <v>47</v>
      </c>
      <c r="F12" t="s">
        <v>22</v>
      </c>
      <c r="G12" t="s">
        <v>33</v>
      </c>
      <c r="H12">
        <v>48</v>
      </c>
      <c r="I12" t="s">
        <v>17</v>
      </c>
      <c r="J12">
        <v>2</v>
      </c>
      <c r="K12" s="3">
        <v>45151</v>
      </c>
    </row>
    <row r="13" spans="1:11" x14ac:dyDescent="0.35">
      <c r="A13" t="s">
        <v>324</v>
      </c>
      <c r="B13" t="s">
        <v>12</v>
      </c>
      <c r="C13">
        <v>1830.19</v>
      </c>
      <c r="D13" t="s">
        <v>20</v>
      </c>
      <c r="E13" t="s">
        <v>47</v>
      </c>
      <c r="F13" t="s">
        <v>22</v>
      </c>
      <c r="G13" t="s">
        <v>33</v>
      </c>
      <c r="H13">
        <v>43</v>
      </c>
      <c r="I13" t="s">
        <v>24</v>
      </c>
      <c r="J13">
        <v>3</v>
      </c>
      <c r="K13" s="3">
        <v>45807</v>
      </c>
    </row>
    <row r="14" spans="1:11" x14ac:dyDescent="0.35">
      <c r="A14" t="s">
        <v>323</v>
      </c>
      <c r="B14" t="s">
        <v>65</v>
      </c>
      <c r="C14">
        <v>1961.06</v>
      </c>
      <c r="D14" t="s">
        <v>27</v>
      </c>
      <c r="E14" t="s">
        <v>21</v>
      </c>
      <c r="F14" t="s">
        <v>22</v>
      </c>
      <c r="G14" t="s">
        <v>23</v>
      </c>
      <c r="H14">
        <v>38</v>
      </c>
      <c r="I14" t="s">
        <v>24</v>
      </c>
      <c r="J14">
        <v>5</v>
      </c>
      <c r="K14" s="3">
        <v>45434</v>
      </c>
    </row>
    <row r="15" spans="1:11" x14ac:dyDescent="0.35">
      <c r="A15" t="s">
        <v>322</v>
      </c>
      <c r="B15" t="s">
        <v>72</v>
      </c>
      <c r="C15">
        <v>1254.0999999999999</v>
      </c>
      <c r="D15" t="s">
        <v>20</v>
      </c>
      <c r="E15" t="s">
        <v>47</v>
      </c>
      <c r="F15" t="s">
        <v>22</v>
      </c>
      <c r="G15" t="s">
        <v>16</v>
      </c>
      <c r="H15">
        <v>52</v>
      </c>
      <c r="I15" t="s">
        <v>24</v>
      </c>
      <c r="J15">
        <v>3</v>
      </c>
      <c r="K15" s="3">
        <v>45672</v>
      </c>
    </row>
    <row r="16" spans="1:11" x14ac:dyDescent="0.35">
      <c r="A16" t="s">
        <v>320</v>
      </c>
      <c r="B16" t="s">
        <v>35</v>
      </c>
      <c r="C16">
        <v>1796.13</v>
      </c>
      <c r="D16" t="s">
        <v>20</v>
      </c>
      <c r="E16" t="s">
        <v>32</v>
      </c>
      <c r="F16" t="s">
        <v>22</v>
      </c>
      <c r="G16" t="s">
        <v>28</v>
      </c>
      <c r="H16">
        <v>60</v>
      </c>
      <c r="I16" t="s">
        <v>17</v>
      </c>
      <c r="J16">
        <v>5</v>
      </c>
      <c r="K16" s="3">
        <v>45474</v>
      </c>
    </row>
    <row r="17" spans="1:11" x14ac:dyDescent="0.35">
      <c r="A17" t="s">
        <v>54</v>
      </c>
      <c r="B17" t="s">
        <v>55</v>
      </c>
      <c r="C17">
        <v>1942.94</v>
      </c>
      <c r="D17" t="s">
        <v>20</v>
      </c>
      <c r="E17" t="s">
        <v>47</v>
      </c>
      <c r="F17" t="s">
        <v>22</v>
      </c>
      <c r="G17" t="s">
        <v>23</v>
      </c>
      <c r="H17">
        <v>45</v>
      </c>
      <c r="I17" t="s">
        <v>17</v>
      </c>
      <c r="J17">
        <v>4</v>
      </c>
      <c r="K17" s="3">
        <v>45566</v>
      </c>
    </row>
    <row r="18" spans="1:11" x14ac:dyDescent="0.35">
      <c r="A18" t="s">
        <v>318</v>
      </c>
      <c r="B18" t="s">
        <v>55</v>
      </c>
      <c r="C18">
        <v>992.12</v>
      </c>
      <c r="D18" t="s">
        <v>39</v>
      </c>
      <c r="E18" t="s">
        <v>32</v>
      </c>
      <c r="F18" t="s">
        <v>22</v>
      </c>
      <c r="G18" t="s">
        <v>16</v>
      </c>
      <c r="H18">
        <v>24</v>
      </c>
      <c r="I18" t="s">
        <v>24</v>
      </c>
      <c r="J18">
        <v>1</v>
      </c>
      <c r="K18" s="3">
        <v>45574</v>
      </c>
    </row>
    <row r="19" spans="1:11" x14ac:dyDescent="0.35">
      <c r="A19" t="s">
        <v>311</v>
      </c>
      <c r="B19" t="s">
        <v>12</v>
      </c>
      <c r="C19">
        <v>442.66</v>
      </c>
      <c r="D19" t="s">
        <v>20</v>
      </c>
      <c r="E19" t="s">
        <v>14</v>
      </c>
      <c r="F19" t="s">
        <v>22</v>
      </c>
      <c r="G19" t="s">
        <v>33</v>
      </c>
      <c r="H19">
        <v>39</v>
      </c>
      <c r="I19" t="s">
        <v>17</v>
      </c>
      <c r="J19">
        <v>2</v>
      </c>
      <c r="K19" s="3">
        <v>45201</v>
      </c>
    </row>
    <row r="20" spans="1:11" x14ac:dyDescent="0.35">
      <c r="A20" t="s">
        <v>309</v>
      </c>
      <c r="B20" t="s">
        <v>26</v>
      </c>
      <c r="C20">
        <v>753.97</v>
      </c>
      <c r="D20" t="s">
        <v>20</v>
      </c>
      <c r="E20" t="s">
        <v>21</v>
      </c>
      <c r="F20" t="s">
        <v>22</v>
      </c>
      <c r="G20" t="s">
        <v>23</v>
      </c>
      <c r="H20">
        <v>59</v>
      </c>
      <c r="I20" t="s">
        <v>24</v>
      </c>
      <c r="J20">
        <v>5</v>
      </c>
      <c r="K20" s="3">
        <v>45710</v>
      </c>
    </row>
    <row r="21" spans="1:11" x14ac:dyDescent="0.35">
      <c r="A21" t="s">
        <v>59</v>
      </c>
      <c r="B21" t="s">
        <v>38</v>
      </c>
      <c r="C21">
        <v>1833.34</v>
      </c>
      <c r="D21" t="s">
        <v>39</v>
      </c>
      <c r="E21" t="s">
        <v>21</v>
      </c>
      <c r="F21" t="s">
        <v>22</v>
      </c>
      <c r="G21" t="s">
        <v>28</v>
      </c>
      <c r="H21">
        <v>23</v>
      </c>
      <c r="I21" t="s">
        <v>17</v>
      </c>
      <c r="J21">
        <v>1</v>
      </c>
      <c r="K21" s="3">
        <v>45140</v>
      </c>
    </row>
    <row r="22" spans="1:11" x14ac:dyDescent="0.35">
      <c r="A22" t="s">
        <v>299</v>
      </c>
      <c r="B22" t="s">
        <v>26</v>
      </c>
      <c r="C22">
        <v>831.7</v>
      </c>
      <c r="D22" t="s">
        <v>27</v>
      </c>
      <c r="E22" t="s">
        <v>47</v>
      </c>
      <c r="F22" t="s">
        <v>22</v>
      </c>
      <c r="G22" t="s">
        <v>28</v>
      </c>
      <c r="H22">
        <v>34</v>
      </c>
      <c r="I22" t="s">
        <v>17</v>
      </c>
      <c r="J22">
        <v>2</v>
      </c>
      <c r="K22" s="3">
        <v>45434</v>
      </c>
    </row>
    <row r="23" spans="1:11" x14ac:dyDescent="0.35">
      <c r="A23" t="s">
        <v>61</v>
      </c>
      <c r="B23" t="s">
        <v>42</v>
      </c>
      <c r="C23">
        <v>1353.58</v>
      </c>
      <c r="D23" t="s">
        <v>20</v>
      </c>
      <c r="E23" t="s">
        <v>47</v>
      </c>
      <c r="F23" t="s">
        <v>22</v>
      </c>
      <c r="G23" t="s">
        <v>33</v>
      </c>
      <c r="H23">
        <v>20</v>
      </c>
      <c r="I23" t="s">
        <v>17</v>
      </c>
      <c r="J23">
        <v>1</v>
      </c>
      <c r="K23" s="3">
        <v>45666</v>
      </c>
    </row>
    <row r="24" spans="1:11" x14ac:dyDescent="0.35">
      <c r="A24" t="s">
        <v>295</v>
      </c>
      <c r="B24" t="s">
        <v>12</v>
      </c>
      <c r="C24">
        <v>1650.78</v>
      </c>
      <c r="D24" t="s">
        <v>20</v>
      </c>
      <c r="E24" t="s">
        <v>32</v>
      </c>
      <c r="F24" t="s">
        <v>22</v>
      </c>
      <c r="G24" t="s">
        <v>23</v>
      </c>
      <c r="H24">
        <v>32</v>
      </c>
      <c r="I24" t="s">
        <v>24</v>
      </c>
      <c r="J24">
        <v>1</v>
      </c>
      <c r="K24" s="3">
        <v>45733</v>
      </c>
    </row>
    <row r="25" spans="1:11" x14ac:dyDescent="0.35">
      <c r="A25" t="s">
        <v>63</v>
      </c>
      <c r="B25" t="s">
        <v>35</v>
      </c>
      <c r="C25">
        <v>1191.26</v>
      </c>
      <c r="D25" t="s">
        <v>20</v>
      </c>
      <c r="E25" t="s">
        <v>47</v>
      </c>
      <c r="F25" t="s">
        <v>22</v>
      </c>
      <c r="G25" t="s">
        <v>33</v>
      </c>
      <c r="H25">
        <v>52</v>
      </c>
      <c r="I25" t="s">
        <v>17</v>
      </c>
      <c r="J25">
        <v>2</v>
      </c>
      <c r="K25" s="3">
        <v>45747</v>
      </c>
    </row>
    <row r="26" spans="1:11" x14ac:dyDescent="0.35">
      <c r="A26" t="s">
        <v>64</v>
      </c>
      <c r="B26" t="s">
        <v>65</v>
      </c>
      <c r="C26">
        <v>1050.6600000000001</v>
      </c>
      <c r="D26" t="s">
        <v>39</v>
      </c>
      <c r="E26" t="s">
        <v>47</v>
      </c>
      <c r="F26" t="s">
        <v>22</v>
      </c>
      <c r="G26" t="s">
        <v>33</v>
      </c>
      <c r="H26">
        <v>32</v>
      </c>
      <c r="I26" t="s">
        <v>17</v>
      </c>
      <c r="J26">
        <v>3</v>
      </c>
      <c r="K26" s="3">
        <v>45187</v>
      </c>
    </row>
    <row r="27" spans="1:11" x14ac:dyDescent="0.35">
      <c r="A27" t="s">
        <v>293</v>
      </c>
      <c r="B27" t="s">
        <v>30</v>
      </c>
      <c r="C27">
        <v>1513.58</v>
      </c>
      <c r="D27" t="s">
        <v>39</v>
      </c>
      <c r="E27" t="s">
        <v>21</v>
      </c>
      <c r="F27" t="s">
        <v>22</v>
      </c>
      <c r="G27" t="s">
        <v>16</v>
      </c>
      <c r="H27">
        <v>41</v>
      </c>
      <c r="I27" t="s">
        <v>24</v>
      </c>
      <c r="J27">
        <v>1</v>
      </c>
      <c r="K27" s="3">
        <v>45114</v>
      </c>
    </row>
    <row r="28" spans="1:11" x14ac:dyDescent="0.35">
      <c r="A28" t="s">
        <v>287</v>
      </c>
      <c r="B28" t="s">
        <v>65</v>
      </c>
      <c r="C28">
        <v>1308.57</v>
      </c>
      <c r="D28" t="s">
        <v>39</v>
      </c>
      <c r="E28" t="s">
        <v>47</v>
      </c>
      <c r="F28" t="s">
        <v>22</v>
      </c>
      <c r="G28" t="s">
        <v>28</v>
      </c>
      <c r="H28">
        <v>35</v>
      </c>
      <c r="I28" t="s">
        <v>24</v>
      </c>
      <c r="J28">
        <v>5</v>
      </c>
      <c r="K28" s="3">
        <v>45162</v>
      </c>
    </row>
    <row r="29" spans="1:11" x14ac:dyDescent="0.35">
      <c r="A29" t="s">
        <v>275</v>
      </c>
      <c r="B29" t="s">
        <v>26</v>
      </c>
      <c r="C29">
        <v>1635.85</v>
      </c>
      <c r="D29" t="s">
        <v>20</v>
      </c>
      <c r="E29" t="s">
        <v>226</v>
      </c>
      <c r="F29" t="s">
        <v>22</v>
      </c>
      <c r="G29" t="s">
        <v>23</v>
      </c>
      <c r="H29">
        <v>45</v>
      </c>
      <c r="I29" t="s">
        <v>24</v>
      </c>
      <c r="J29">
        <v>2</v>
      </c>
      <c r="K29" s="3">
        <v>45269</v>
      </c>
    </row>
    <row r="30" spans="1:11" x14ac:dyDescent="0.35">
      <c r="A30" t="s">
        <v>272</v>
      </c>
      <c r="B30" t="s">
        <v>30</v>
      </c>
      <c r="C30">
        <v>1322.98</v>
      </c>
      <c r="D30" t="s">
        <v>39</v>
      </c>
      <c r="E30" t="s">
        <v>32</v>
      </c>
      <c r="F30" t="s">
        <v>22</v>
      </c>
      <c r="G30" t="s">
        <v>23</v>
      </c>
      <c r="H30">
        <v>56</v>
      </c>
      <c r="I30" t="s">
        <v>17</v>
      </c>
      <c r="J30">
        <v>1</v>
      </c>
      <c r="K30" s="3">
        <v>45691</v>
      </c>
    </row>
    <row r="31" spans="1:11" x14ac:dyDescent="0.35">
      <c r="A31" t="s">
        <v>269</v>
      </c>
      <c r="B31" t="s">
        <v>30</v>
      </c>
      <c r="C31">
        <v>34.6</v>
      </c>
      <c r="D31" t="s">
        <v>39</v>
      </c>
      <c r="E31" t="s">
        <v>32</v>
      </c>
      <c r="F31" t="s">
        <v>22</v>
      </c>
      <c r="G31" t="s">
        <v>16</v>
      </c>
      <c r="H31">
        <v>20</v>
      </c>
      <c r="I31" t="s">
        <v>24</v>
      </c>
      <c r="J31">
        <v>2</v>
      </c>
      <c r="K31" s="3">
        <v>45249</v>
      </c>
    </row>
    <row r="32" spans="1:11" x14ac:dyDescent="0.35">
      <c r="A32" t="s">
        <v>71</v>
      </c>
      <c r="B32" t="s">
        <v>72</v>
      </c>
      <c r="C32">
        <v>1898.73</v>
      </c>
      <c r="D32" t="s">
        <v>39</v>
      </c>
      <c r="E32" t="s">
        <v>32</v>
      </c>
      <c r="F32" t="s">
        <v>22</v>
      </c>
      <c r="G32" t="s">
        <v>33</v>
      </c>
      <c r="H32">
        <v>27</v>
      </c>
      <c r="I32" t="s">
        <v>17</v>
      </c>
      <c r="J32">
        <v>4</v>
      </c>
      <c r="K32" s="3">
        <v>45726</v>
      </c>
    </row>
    <row r="33" spans="1:11" x14ac:dyDescent="0.35">
      <c r="A33" t="s">
        <v>73</v>
      </c>
      <c r="B33" t="s">
        <v>19</v>
      </c>
      <c r="C33">
        <v>212.69</v>
      </c>
      <c r="D33" t="s">
        <v>20</v>
      </c>
      <c r="E33" t="s">
        <v>47</v>
      </c>
      <c r="F33" t="s">
        <v>22</v>
      </c>
      <c r="G33" t="s">
        <v>23</v>
      </c>
      <c r="H33">
        <v>55</v>
      </c>
      <c r="I33" t="s">
        <v>17</v>
      </c>
      <c r="J33">
        <v>3</v>
      </c>
      <c r="K33" s="3">
        <v>45580</v>
      </c>
    </row>
    <row r="34" spans="1:11" x14ac:dyDescent="0.35">
      <c r="A34" t="s">
        <v>268</v>
      </c>
      <c r="B34" t="s">
        <v>72</v>
      </c>
      <c r="C34">
        <v>225.82</v>
      </c>
      <c r="D34" t="s">
        <v>20</v>
      </c>
      <c r="E34" t="s">
        <v>21</v>
      </c>
      <c r="F34" t="s">
        <v>22</v>
      </c>
      <c r="G34" t="s">
        <v>33</v>
      </c>
      <c r="H34">
        <v>33</v>
      </c>
      <c r="I34" t="s">
        <v>17</v>
      </c>
      <c r="J34">
        <v>3</v>
      </c>
      <c r="K34" s="3">
        <v>45769</v>
      </c>
    </row>
    <row r="35" spans="1:11" x14ac:dyDescent="0.35">
      <c r="A35" t="s">
        <v>75</v>
      </c>
      <c r="B35" t="s">
        <v>12</v>
      </c>
      <c r="C35">
        <v>1232.77</v>
      </c>
      <c r="D35" t="s">
        <v>39</v>
      </c>
      <c r="E35" t="s">
        <v>32</v>
      </c>
      <c r="F35" t="s">
        <v>22</v>
      </c>
      <c r="G35" t="s">
        <v>28</v>
      </c>
      <c r="H35">
        <v>35</v>
      </c>
      <c r="I35" t="s">
        <v>24</v>
      </c>
      <c r="J35">
        <v>3</v>
      </c>
      <c r="K35" s="3">
        <v>45450</v>
      </c>
    </row>
    <row r="36" spans="1:11" x14ac:dyDescent="0.35">
      <c r="A36" t="s">
        <v>263</v>
      </c>
      <c r="B36" t="s">
        <v>72</v>
      </c>
      <c r="C36">
        <v>437.98</v>
      </c>
      <c r="D36" t="s">
        <v>39</v>
      </c>
      <c r="E36" t="s">
        <v>32</v>
      </c>
      <c r="F36" t="s">
        <v>22</v>
      </c>
      <c r="G36" t="s">
        <v>23</v>
      </c>
      <c r="H36">
        <v>25</v>
      </c>
      <c r="I36" t="s">
        <v>24</v>
      </c>
      <c r="J36">
        <v>2</v>
      </c>
      <c r="K36" s="3">
        <v>45653</v>
      </c>
    </row>
    <row r="37" spans="1:11" x14ac:dyDescent="0.35">
      <c r="A37" t="s">
        <v>262</v>
      </c>
      <c r="B37" t="s">
        <v>12</v>
      </c>
      <c r="C37">
        <v>1170.07</v>
      </c>
      <c r="D37" t="s">
        <v>20</v>
      </c>
      <c r="E37" t="s">
        <v>92</v>
      </c>
      <c r="F37" t="s">
        <v>22</v>
      </c>
      <c r="G37" t="s">
        <v>16</v>
      </c>
      <c r="H37">
        <v>41</v>
      </c>
      <c r="I37" t="s">
        <v>24</v>
      </c>
      <c r="J37">
        <v>1</v>
      </c>
      <c r="K37" s="3">
        <v>45262</v>
      </c>
    </row>
    <row r="38" spans="1:11" x14ac:dyDescent="0.35">
      <c r="A38" t="s">
        <v>78</v>
      </c>
      <c r="B38" t="s">
        <v>35</v>
      </c>
      <c r="C38">
        <v>1877.32</v>
      </c>
      <c r="D38" t="s">
        <v>39</v>
      </c>
      <c r="E38" t="s">
        <v>14</v>
      </c>
      <c r="F38" t="s">
        <v>22</v>
      </c>
      <c r="G38" t="s">
        <v>16</v>
      </c>
      <c r="H38">
        <v>49</v>
      </c>
      <c r="I38" t="s">
        <v>24</v>
      </c>
      <c r="J38">
        <v>2</v>
      </c>
      <c r="K38" s="3">
        <v>45251</v>
      </c>
    </row>
    <row r="39" spans="1:11" x14ac:dyDescent="0.35">
      <c r="A39" t="s">
        <v>261</v>
      </c>
      <c r="B39" t="s">
        <v>26</v>
      </c>
      <c r="C39">
        <v>499.98</v>
      </c>
      <c r="D39" t="s">
        <v>39</v>
      </c>
      <c r="E39" t="s">
        <v>32</v>
      </c>
      <c r="F39" t="s">
        <v>22</v>
      </c>
      <c r="G39" t="s">
        <v>23</v>
      </c>
      <c r="H39">
        <v>25</v>
      </c>
      <c r="I39" t="s">
        <v>17</v>
      </c>
      <c r="J39">
        <v>1</v>
      </c>
      <c r="K39" s="3">
        <v>45575</v>
      </c>
    </row>
    <row r="40" spans="1:11" x14ac:dyDescent="0.35">
      <c r="A40" t="s">
        <v>80</v>
      </c>
      <c r="B40" t="s">
        <v>72</v>
      </c>
      <c r="C40">
        <v>412.98</v>
      </c>
      <c r="D40" t="s">
        <v>39</v>
      </c>
      <c r="E40" t="s">
        <v>47</v>
      </c>
      <c r="F40" t="s">
        <v>22</v>
      </c>
      <c r="G40" t="s">
        <v>23</v>
      </c>
      <c r="H40">
        <v>54</v>
      </c>
      <c r="I40" t="s">
        <v>24</v>
      </c>
      <c r="J40">
        <v>4</v>
      </c>
      <c r="K40" s="3">
        <v>45762</v>
      </c>
    </row>
    <row r="41" spans="1:11" x14ac:dyDescent="0.35">
      <c r="A41" t="s">
        <v>259</v>
      </c>
      <c r="B41" t="s">
        <v>65</v>
      </c>
      <c r="C41">
        <v>927.31</v>
      </c>
      <c r="D41" t="s">
        <v>27</v>
      </c>
      <c r="E41" t="s">
        <v>47</v>
      </c>
      <c r="F41" t="s">
        <v>22</v>
      </c>
      <c r="G41" t="s">
        <v>33</v>
      </c>
      <c r="H41">
        <v>31</v>
      </c>
      <c r="I41" t="s">
        <v>17</v>
      </c>
      <c r="J41">
        <v>1</v>
      </c>
      <c r="K41" s="3">
        <v>45765</v>
      </c>
    </row>
    <row r="42" spans="1:11" x14ac:dyDescent="0.35">
      <c r="A42" t="s">
        <v>82</v>
      </c>
      <c r="B42" t="s">
        <v>42</v>
      </c>
      <c r="C42">
        <v>290.37</v>
      </c>
      <c r="D42" t="s">
        <v>39</v>
      </c>
      <c r="E42" t="s">
        <v>47</v>
      </c>
      <c r="F42" t="s">
        <v>22</v>
      </c>
      <c r="G42" t="s">
        <v>33</v>
      </c>
      <c r="H42">
        <v>23</v>
      </c>
      <c r="I42" t="s">
        <v>24</v>
      </c>
      <c r="J42">
        <v>4</v>
      </c>
      <c r="K42" s="3">
        <v>45563</v>
      </c>
    </row>
    <row r="43" spans="1:11" x14ac:dyDescent="0.35">
      <c r="A43" t="s">
        <v>247</v>
      </c>
      <c r="B43" t="s">
        <v>42</v>
      </c>
      <c r="C43">
        <v>1030.29</v>
      </c>
      <c r="D43" t="s">
        <v>39</v>
      </c>
      <c r="E43" t="s">
        <v>226</v>
      </c>
      <c r="F43" t="s">
        <v>22</v>
      </c>
      <c r="G43" t="s">
        <v>23</v>
      </c>
      <c r="H43">
        <v>58</v>
      </c>
      <c r="I43" t="s">
        <v>24</v>
      </c>
      <c r="J43">
        <v>5</v>
      </c>
      <c r="K43" s="3">
        <v>45542</v>
      </c>
    </row>
    <row r="44" spans="1:11" x14ac:dyDescent="0.35">
      <c r="A44" t="s">
        <v>242</v>
      </c>
      <c r="B44" t="s">
        <v>30</v>
      </c>
      <c r="C44">
        <v>763.41</v>
      </c>
      <c r="D44" t="s">
        <v>20</v>
      </c>
      <c r="E44" t="s">
        <v>226</v>
      </c>
      <c r="F44" t="s">
        <v>22</v>
      </c>
      <c r="G44" t="s">
        <v>23</v>
      </c>
      <c r="H44">
        <v>31</v>
      </c>
      <c r="I44" t="s">
        <v>24</v>
      </c>
      <c r="J44">
        <v>1</v>
      </c>
      <c r="K44" s="3">
        <v>45414</v>
      </c>
    </row>
    <row r="45" spans="1:11" x14ac:dyDescent="0.35">
      <c r="A45" t="s">
        <v>238</v>
      </c>
      <c r="B45" t="s">
        <v>38</v>
      </c>
      <c r="C45">
        <v>1634.89</v>
      </c>
      <c r="D45" t="s">
        <v>27</v>
      </c>
      <c r="E45" t="s">
        <v>47</v>
      </c>
      <c r="F45" t="s">
        <v>22</v>
      </c>
      <c r="G45" t="s">
        <v>33</v>
      </c>
      <c r="H45">
        <v>33</v>
      </c>
      <c r="I45" t="s">
        <v>24</v>
      </c>
      <c r="J45">
        <v>3</v>
      </c>
      <c r="K45" s="3">
        <v>45500</v>
      </c>
    </row>
    <row r="46" spans="1:11" x14ac:dyDescent="0.35">
      <c r="A46" t="s">
        <v>236</v>
      </c>
      <c r="B46" t="s">
        <v>65</v>
      </c>
      <c r="C46">
        <v>1145.32</v>
      </c>
      <c r="D46" t="s">
        <v>27</v>
      </c>
      <c r="E46" t="s">
        <v>226</v>
      </c>
      <c r="F46" t="s">
        <v>22</v>
      </c>
      <c r="G46" t="s">
        <v>28</v>
      </c>
      <c r="H46">
        <v>32</v>
      </c>
      <c r="I46" t="s">
        <v>17</v>
      </c>
      <c r="J46">
        <v>3</v>
      </c>
      <c r="K46" s="3">
        <v>45305</v>
      </c>
    </row>
    <row r="47" spans="1:11" x14ac:dyDescent="0.35">
      <c r="A47" t="s">
        <v>233</v>
      </c>
      <c r="B47" t="s">
        <v>38</v>
      </c>
      <c r="C47">
        <v>1768.38</v>
      </c>
      <c r="D47" t="s">
        <v>39</v>
      </c>
      <c r="E47" t="s">
        <v>47</v>
      </c>
      <c r="F47" t="s">
        <v>22</v>
      </c>
      <c r="G47" t="s">
        <v>33</v>
      </c>
      <c r="H47">
        <v>59</v>
      </c>
      <c r="I47" t="s">
        <v>17</v>
      </c>
      <c r="J47">
        <v>1</v>
      </c>
      <c r="K47" s="3">
        <v>45670</v>
      </c>
    </row>
    <row r="48" spans="1:11" x14ac:dyDescent="0.35">
      <c r="A48" t="s">
        <v>88</v>
      </c>
      <c r="B48" t="s">
        <v>26</v>
      </c>
      <c r="C48">
        <v>808.12</v>
      </c>
      <c r="D48" t="s">
        <v>20</v>
      </c>
      <c r="E48" t="s">
        <v>47</v>
      </c>
      <c r="F48" t="s">
        <v>22</v>
      </c>
      <c r="G48" t="s">
        <v>23</v>
      </c>
      <c r="H48">
        <v>31</v>
      </c>
      <c r="I48" t="s">
        <v>24</v>
      </c>
      <c r="J48">
        <v>3</v>
      </c>
      <c r="K48" s="3">
        <v>45138</v>
      </c>
    </row>
    <row r="49" spans="1:11" x14ac:dyDescent="0.35">
      <c r="A49" t="s">
        <v>89</v>
      </c>
      <c r="B49" t="s">
        <v>30</v>
      </c>
      <c r="C49">
        <v>1315.12</v>
      </c>
      <c r="D49" t="s">
        <v>20</v>
      </c>
      <c r="E49" t="s">
        <v>21</v>
      </c>
      <c r="F49" t="s">
        <v>22</v>
      </c>
      <c r="G49" t="s">
        <v>16</v>
      </c>
      <c r="H49">
        <v>56</v>
      </c>
      <c r="I49" t="s">
        <v>17</v>
      </c>
      <c r="J49">
        <v>3</v>
      </c>
      <c r="K49" s="3">
        <v>45535</v>
      </c>
    </row>
    <row r="50" spans="1:11" x14ac:dyDescent="0.35">
      <c r="A50" t="s">
        <v>228</v>
      </c>
      <c r="B50" t="s">
        <v>19</v>
      </c>
      <c r="C50">
        <v>1425.26</v>
      </c>
      <c r="D50" t="s">
        <v>20</v>
      </c>
      <c r="E50" t="s">
        <v>47</v>
      </c>
      <c r="F50" t="s">
        <v>22</v>
      </c>
      <c r="G50" t="s">
        <v>16</v>
      </c>
      <c r="H50">
        <v>21</v>
      </c>
      <c r="I50" t="s">
        <v>24</v>
      </c>
      <c r="J50">
        <v>1</v>
      </c>
      <c r="K50" s="3">
        <v>45178</v>
      </c>
    </row>
    <row r="51" spans="1:11" x14ac:dyDescent="0.35">
      <c r="A51" t="s">
        <v>220</v>
      </c>
      <c r="B51" t="s">
        <v>65</v>
      </c>
      <c r="C51">
        <v>830.46</v>
      </c>
      <c r="D51" t="s">
        <v>27</v>
      </c>
      <c r="E51" t="s">
        <v>21</v>
      </c>
      <c r="F51" t="s">
        <v>22</v>
      </c>
      <c r="G51" t="s">
        <v>28</v>
      </c>
      <c r="H51">
        <v>57</v>
      </c>
      <c r="I51" t="s">
        <v>17</v>
      </c>
      <c r="J51">
        <v>5</v>
      </c>
      <c r="K51" s="3">
        <v>45762</v>
      </c>
    </row>
    <row r="52" spans="1:11" x14ac:dyDescent="0.35">
      <c r="A52" t="s">
        <v>219</v>
      </c>
      <c r="B52" t="s">
        <v>35</v>
      </c>
      <c r="C52">
        <v>1272.5</v>
      </c>
      <c r="D52" t="s">
        <v>27</v>
      </c>
      <c r="E52" t="s">
        <v>47</v>
      </c>
      <c r="F52" t="s">
        <v>22</v>
      </c>
      <c r="G52" t="s">
        <v>28</v>
      </c>
      <c r="H52">
        <v>60</v>
      </c>
      <c r="I52" t="s">
        <v>24</v>
      </c>
      <c r="J52">
        <v>5</v>
      </c>
      <c r="K52" s="3">
        <v>45299</v>
      </c>
    </row>
    <row r="53" spans="1:11" x14ac:dyDescent="0.35">
      <c r="A53" t="s">
        <v>218</v>
      </c>
      <c r="B53" t="s">
        <v>72</v>
      </c>
      <c r="C53">
        <v>1614.36</v>
      </c>
      <c r="D53" t="s">
        <v>39</v>
      </c>
      <c r="E53" t="s">
        <v>14</v>
      </c>
      <c r="F53" t="s">
        <v>22</v>
      </c>
      <c r="G53" t="s">
        <v>16</v>
      </c>
      <c r="H53">
        <v>42</v>
      </c>
      <c r="I53" t="s">
        <v>24</v>
      </c>
      <c r="J53">
        <v>3</v>
      </c>
      <c r="K53" s="3">
        <v>45248</v>
      </c>
    </row>
    <row r="54" spans="1:11" x14ac:dyDescent="0.35">
      <c r="A54" t="s">
        <v>215</v>
      </c>
      <c r="B54" t="s">
        <v>35</v>
      </c>
      <c r="C54">
        <v>650.27</v>
      </c>
      <c r="D54" t="s">
        <v>27</v>
      </c>
      <c r="E54" t="s">
        <v>47</v>
      </c>
      <c r="F54" t="s">
        <v>22</v>
      </c>
      <c r="G54" t="s">
        <v>16</v>
      </c>
      <c r="H54">
        <v>26</v>
      </c>
      <c r="I54" t="s">
        <v>17</v>
      </c>
      <c r="J54">
        <v>2</v>
      </c>
      <c r="K54" s="3">
        <v>45418</v>
      </c>
    </row>
    <row r="55" spans="1:11" x14ac:dyDescent="0.35">
      <c r="A55" t="s">
        <v>214</v>
      </c>
      <c r="B55" t="s">
        <v>55</v>
      </c>
      <c r="C55">
        <v>920.18</v>
      </c>
      <c r="D55" t="s">
        <v>20</v>
      </c>
      <c r="E55" t="s">
        <v>32</v>
      </c>
      <c r="F55" t="s">
        <v>22</v>
      </c>
      <c r="G55" t="s">
        <v>28</v>
      </c>
      <c r="H55">
        <v>36</v>
      </c>
      <c r="I55" t="s">
        <v>17</v>
      </c>
      <c r="J55">
        <v>1</v>
      </c>
      <c r="K55" s="3">
        <v>45206</v>
      </c>
    </row>
    <row r="56" spans="1:11" x14ac:dyDescent="0.35">
      <c r="A56" t="s">
        <v>210</v>
      </c>
      <c r="B56" t="s">
        <v>55</v>
      </c>
      <c r="C56">
        <v>1105.8499999999999</v>
      </c>
      <c r="D56" t="s">
        <v>39</v>
      </c>
      <c r="E56" t="s">
        <v>21</v>
      </c>
      <c r="F56" t="s">
        <v>22</v>
      </c>
      <c r="G56" t="s">
        <v>16</v>
      </c>
      <c r="H56">
        <v>31</v>
      </c>
      <c r="I56" t="s">
        <v>24</v>
      </c>
      <c r="J56">
        <v>3</v>
      </c>
      <c r="K56" s="3">
        <v>45635</v>
      </c>
    </row>
    <row r="57" spans="1:11" x14ac:dyDescent="0.35">
      <c r="A57" t="s">
        <v>209</v>
      </c>
      <c r="B57" t="s">
        <v>30</v>
      </c>
      <c r="C57">
        <v>696.1</v>
      </c>
      <c r="D57" t="s">
        <v>27</v>
      </c>
      <c r="E57" t="s">
        <v>32</v>
      </c>
      <c r="F57" t="s">
        <v>22</v>
      </c>
      <c r="G57" t="s">
        <v>16</v>
      </c>
      <c r="H57">
        <v>47</v>
      </c>
      <c r="I57" t="s">
        <v>17</v>
      </c>
      <c r="J57">
        <v>5</v>
      </c>
      <c r="K57" s="3">
        <v>45547</v>
      </c>
    </row>
    <row r="58" spans="1:11" x14ac:dyDescent="0.35">
      <c r="A58" t="s">
        <v>99</v>
      </c>
      <c r="B58" t="s">
        <v>12</v>
      </c>
      <c r="C58">
        <v>333.31</v>
      </c>
      <c r="D58" t="s">
        <v>27</v>
      </c>
      <c r="E58" t="s">
        <v>21</v>
      </c>
      <c r="F58" t="s">
        <v>22</v>
      </c>
      <c r="G58" t="s">
        <v>28</v>
      </c>
      <c r="H58">
        <v>36</v>
      </c>
      <c r="I58" t="s">
        <v>17</v>
      </c>
      <c r="J58">
        <v>2</v>
      </c>
      <c r="K58" s="3">
        <v>45285</v>
      </c>
    </row>
    <row r="59" spans="1:11" x14ac:dyDescent="0.35">
      <c r="A59" t="s">
        <v>208</v>
      </c>
      <c r="B59" t="s">
        <v>12</v>
      </c>
      <c r="C59">
        <v>917.61</v>
      </c>
      <c r="D59" t="s">
        <v>20</v>
      </c>
      <c r="E59" t="s">
        <v>47</v>
      </c>
      <c r="F59" t="s">
        <v>22</v>
      </c>
      <c r="G59" t="s">
        <v>33</v>
      </c>
      <c r="H59">
        <v>21</v>
      </c>
      <c r="I59" t="s">
        <v>24</v>
      </c>
      <c r="J59">
        <v>1</v>
      </c>
      <c r="K59" s="3">
        <v>45493</v>
      </c>
    </row>
    <row r="60" spans="1:11" x14ac:dyDescent="0.35">
      <c r="A60" t="s">
        <v>206</v>
      </c>
      <c r="B60" t="s">
        <v>65</v>
      </c>
      <c r="C60">
        <v>736.53</v>
      </c>
      <c r="D60" t="s">
        <v>39</v>
      </c>
      <c r="E60" t="s">
        <v>47</v>
      </c>
      <c r="F60" t="s">
        <v>22</v>
      </c>
      <c r="G60" t="s">
        <v>33</v>
      </c>
      <c r="H60">
        <v>22</v>
      </c>
      <c r="I60" t="s">
        <v>17</v>
      </c>
      <c r="J60">
        <v>3</v>
      </c>
      <c r="K60" s="3">
        <v>45661</v>
      </c>
    </row>
    <row r="61" spans="1:11" x14ac:dyDescent="0.35">
      <c r="A61" t="s">
        <v>202</v>
      </c>
      <c r="B61" t="s">
        <v>19</v>
      </c>
      <c r="C61">
        <v>214.64</v>
      </c>
      <c r="D61" t="s">
        <v>27</v>
      </c>
      <c r="E61" t="s">
        <v>47</v>
      </c>
      <c r="F61" t="s">
        <v>22</v>
      </c>
      <c r="G61" t="s">
        <v>33</v>
      </c>
      <c r="H61">
        <v>52</v>
      </c>
      <c r="I61" t="s">
        <v>24</v>
      </c>
      <c r="J61">
        <v>5</v>
      </c>
      <c r="K61" s="3">
        <v>45633</v>
      </c>
    </row>
    <row r="62" spans="1:11" x14ac:dyDescent="0.35">
      <c r="A62" t="s">
        <v>196</v>
      </c>
      <c r="B62" t="s">
        <v>38</v>
      </c>
      <c r="C62">
        <v>1441.05</v>
      </c>
      <c r="D62" t="s">
        <v>39</v>
      </c>
      <c r="E62" t="s">
        <v>21</v>
      </c>
      <c r="F62" t="s">
        <v>22</v>
      </c>
      <c r="G62" t="s">
        <v>23</v>
      </c>
      <c r="H62">
        <v>24</v>
      </c>
      <c r="I62" t="s">
        <v>17</v>
      </c>
      <c r="J62">
        <v>5</v>
      </c>
      <c r="K62" s="3">
        <v>45699</v>
      </c>
    </row>
    <row r="63" spans="1:11" x14ac:dyDescent="0.35">
      <c r="A63" t="s">
        <v>195</v>
      </c>
      <c r="B63" t="s">
        <v>35</v>
      </c>
      <c r="C63">
        <v>1822.08</v>
      </c>
      <c r="D63" t="s">
        <v>27</v>
      </c>
      <c r="E63" t="s">
        <v>47</v>
      </c>
      <c r="F63" t="s">
        <v>22</v>
      </c>
      <c r="G63" t="s">
        <v>33</v>
      </c>
      <c r="H63">
        <v>55</v>
      </c>
      <c r="I63" t="s">
        <v>24</v>
      </c>
      <c r="J63">
        <v>3</v>
      </c>
      <c r="K63" s="3">
        <v>45123</v>
      </c>
    </row>
    <row r="64" spans="1:11" x14ac:dyDescent="0.35">
      <c r="A64" t="s">
        <v>191</v>
      </c>
      <c r="B64" t="s">
        <v>65</v>
      </c>
      <c r="C64">
        <v>1721.73</v>
      </c>
      <c r="D64" t="s">
        <v>39</v>
      </c>
      <c r="E64" t="s">
        <v>47</v>
      </c>
      <c r="F64" t="s">
        <v>22</v>
      </c>
      <c r="G64" t="s">
        <v>23</v>
      </c>
      <c r="H64">
        <v>27</v>
      </c>
      <c r="I64" t="s">
        <v>24</v>
      </c>
      <c r="J64">
        <v>5</v>
      </c>
      <c r="K64" s="3">
        <v>45543</v>
      </c>
    </row>
    <row r="65" spans="1:11" x14ac:dyDescent="0.35">
      <c r="A65" t="s">
        <v>189</v>
      </c>
      <c r="B65" t="s">
        <v>55</v>
      </c>
      <c r="C65">
        <v>1542.79</v>
      </c>
      <c r="D65" t="s">
        <v>20</v>
      </c>
      <c r="E65" t="s">
        <v>21</v>
      </c>
      <c r="F65" t="s">
        <v>22</v>
      </c>
      <c r="G65" t="s">
        <v>33</v>
      </c>
      <c r="H65">
        <v>23</v>
      </c>
      <c r="I65" t="s">
        <v>17</v>
      </c>
      <c r="J65">
        <v>5</v>
      </c>
      <c r="K65" s="3">
        <v>45535</v>
      </c>
    </row>
    <row r="66" spans="1:11" x14ac:dyDescent="0.35">
      <c r="A66" t="s">
        <v>186</v>
      </c>
      <c r="B66" t="s">
        <v>30</v>
      </c>
      <c r="C66">
        <v>484.07</v>
      </c>
      <c r="D66" t="s">
        <v>20</v>
      </c>
      <c r="E66" t="s">
        <v>21</v>
      </c>
      <c r="F66" t="s">
        <v>22</v>
      </c>
      <c r="G66" t="s">
        <v>16</v>
      </c>
      <c r="H66">
        <v>46</v>
      </c>
      <c r="I66" t="s">
        <v>24</v>
      </c>
      <c r="J66">
        <v>3</v>
      </c>
      <c r="K66" s="3">
        <v>45269</v>
      </c>
    </row>
    <row r="67" spans="1:11" x14ac:dyDescent="0.35">
      <c r="A67" t="s">
        <v>108</v>
      </c>
      <c r="B67" t="s">
        <v>55</v>
      </c>
      <c r="C67">
        <v>1989.69</v>
      </c>
      <c r="D67" t="s">
        <v>20</v>
      </c>
      <c r="E67" t="s">
        <v>32</v>
      </c>
      <c r="F67" t="s">
        <v>22</v>
      </c>
      <c r="G67" t="s">
        <v>33</v>
      </c>
      <c r="H67">
        <v>34</v>
      </c>
      <c r="I67" t="s">
        <v>24</v>
      </c>
      <c r="J67">
        <v>3</v>
      </c>
      <c r="K67" s="3">
        <v>45112</v>
      </c>
    </row>
    <row r="68" spans="1:11" x14ac:dyDescent="0.35">
      <c r="A68" t="s">
        <v>180</v>
      </c>
      <c r="B68" t="s">
        <v>42</v>
      </c>
      <c r="C68">
        <v>599.63</v>
      </c>
      <c r="D68" t="s">
        <v>39</v>
      </c>
      <c r="E68" t="s">
        <v>47</v>
      </c>
      <c r="F68" t="s">
        <v>22</v>
      </c>
      <c r="G68" t="s">
        <v>23</v>
      </c>
      <c r="H68">
        <v>39</v>
      </c>
      <c r="I68" t="s">
        <v>17</v>
      </c>
      <c r="J68">
        <v>2</v>
      </c>
      <c r="K68" s="3">
        <v>45225</v>
      </c>
    </row>
    <row r="69" spans="1:11" x14ac:dyDescent="0.35">
      <c r="A69" t="s">
        <v>179</v>
      </c>
      <c r="B69" t="s">
        <v>30</v>
      </c>
      <c r="C69">
        <v>584.76</v>
      </c>
      <c r="D69" t="s">
        <v>39</v>
      </c>
      <c r="E69" t="s">
        <v>32</v>
      </c>
      <c r="F69" t="s">
        <v>22</v>
      </c>
      <c r="G69" t="s">
        <v>16</v>
      </c>
      <c r="H69">
        <v>30</v>
      </c>
      <c r="I69" t="s">
        <v>17</v>
      </c>
      <c r="J69">
        <v>4</v>
      </c>
      <c r="K69" s="3">
        <v>45238</v>
      </c>
    </row>
    <row r="70" spans="1:11" x14ac:dyDescent="0.35">
      <c r="A70" t="s">
        <v>178</v>
      </c>
      <c r="B70" t="s">
        <v>12</v>
      </c>
      <c r="C70">
        <v>130.83000000000001</v>
      </c>
      <c r="D70" t="s">
        <v>20</v>
      </c>
      <c r="E70" t="s">
        <v>32</v>
      </c>
      <c r="F70" t="s">
        <v>22</v>
      </c>
      <c r="G70" t="s">
        <v>23</v>
      </c>
      <c r="H70">
        <v>34</v>
      </c>
      <c r="I70" t="s">
        <v>17</v>
      </c>
      <c r="J70">
        <v>5</v>
      </c>
      <c r="K70" s="3">
        <v>45341</v>
      </c>
    </row>
    <row r="71" spans="1:11" x14ac:dyDescent="0.35">
      <c r="A71" t="s">
        <v>112</v>
      </c>
      <c r="B71" t="s">
        <v>12</v>
      </c>
      <c r="C71">
        <v>1530.59</v>
      </c>
      <c r="D71" t="s">
        <v>39</v>
      </c>
      <c r="E71" t="s">
        <v>14</v>
      </c>
      <c r="F71" t="s">
        <v>22</v>
      </c>
      <c r="G71" t="s">
        <v>23</v>
      </c>
      <c r="H71">
        <v>57</v>
      </c>
      <c r="I71" t="s">
        <v>24</v>
      </c>
      <c r="J71">
        <v>4</v>
      </c>
      <c r="K71" s="3">
        <v>45398</v>
      </c>
    </row>
    <row r="72" spans="1:11" x14ac:dyDescent="0.35">
      <c r="A72" t="s">
        <v>113</v>
      </c>
      <c r="B72" t="s">
        <v>42</v>
      </c>
      <c r="C72">
        <v>200.6</v>
      </c>
      <c r="D72" t="s">
        <v>27</v>
      </c>
      <c r="E72" t="s">
        <v>92</v>
      </c>
      <c r="F72" t="s">
        <v>22</v>
      </c>
      <c r="G72" t="s">
        <v>23</v>
      </c>
      <c r="H72">
        <v>47</v>
      </c>
      <c r="I72" t="s">
        <v>17</v>
      </c>
      <c r="J72">
        <v>4</v>
      </c>
      <c r="K72" s="3">
        <v>45510</v>
      </c>
    </row>
    <row r="73" spans="1:11" x14ac:dyDescent="0.35">
      <c r="A73" t="s">
        <v>174</v>
      </c>
      <c r="B73" t="s">
        <v>42</v>
      </c>
      <c r="C73">
        <v>638.5</v>
      </c>
      <c r="D73" t="s">
        <v>27</v>
      </c>
      <c r="E73" t="s">
        <v>47</v>
      </c>
      <c r="F73" t="s">
        <v>22</v>
      </c>
      <c r="G73" t="s">
        <v>33</v>
      </c>
      <c r="H73">
        <v>25</v>
      </c>
      <c r="I73" t="s">
        <v>24</v>
      </c>
      <c r="J73">
        <v>2</v>
      </c>
      <c r="K73" s="3">
        <v>45112</v>
      </c>
    </row>
    <row r="74" spans="1:11" x14ac:dyDescent="0.35">
      <c r="A74" t="s">
        <v>173</v>
      </c>
      <c r="B74" t="s">
        <v>30</v>
      </c>
      <c r="C74">
        <v>572.07000000000005</v>
      </c>
      <c r="D74" t="s">
        <v>39</v>
      </c>
      <c r="E74" t="s">
        <v>21</v>
      </c>
      <c r="F74" t="s">
        <v>22</v>
      </c>
      <c r="G74" t="s">
        <v>23</v>
      </c>
      <c r="H74">
        <v>23</v>
      </c>
      <c r="I74" t="s">
        <v>24</v>
      </c>
      <c r="J74">
        <v>4</v>
      </c>
      <c r="K74" s="3">
        <v>45252</v>
      </c>
    </row>
    <row r="75" spans="1:11" x14ac:dyDescent="0.35">
      <c r="A75" t="s">
        <v>116</v>
      </c>
      <c r="B75" t="s">
        <v>26</v>
      </c>
      <c r="C75">
        <v>1981.2</v>
      </c>
      <c r="D75" t="s">
        <v>39</v>
      </c>
      <c r="E75" t="s">
        <v>32</v>
      </c>
      <c r="F75" t="s">
        <v>22</v>
      </c>
      <c r="G75" t="s">
        <v>23</v>
      </c>
      <c r="H75">
        <v>41</v>
      </c>
      <c r="I75" t="s">
        <v>24</v>
      </c>
      <c r="J75">
        <v>1</v>
      </c>
      <c r="K75" s="3">
        <v>45469</v>
      </c>
    </row>
    <row r="76" spans="1:11" x14ac:dyDescent="0.35">
      <c r="A76" t="s">
        <v>171</v>
      </c>
      <c r="B76" t="s">
        <v>42</v>
      </c>
      <c r="C76">
        <v>1916.28</v>
      </c>
      <c r="D76" t="s">
        <v>27</v>
      </c>
      <c r="E76" t="s">
        <v>47</v>
      </c>
      <c r="F76" t="s">
        <v>22</v>
      </c>
      <c r="G76" t="s">
        <v>23</v>
      </c>
      <c r="H76">
        <v>58</v>
      </c>
      <c r="I76" t="s">
        <v>24</v>
      </c>
      <c r="J76">
        <v>5</v>
      </c>
      <c r="K76" s="3">
        <v>45359</v>
      </c>
    </row>
    <row r="77" spans="1:11" x14ac:dyDescent="0.35">
      <c r="A77" t="s">
        <v>118</v>
      </c>
      <c r="B77" t="s">
        <v>38</v>
      </c>
      <c r="C77">
        <v>1330.3</v>
      </c>
      <c r="D77" t="s">
        <v>39</v>
      </c>
      <c r="E77" t="s">
        <v>92</v>
      </c>
      <c r="F77" t="s">
        <v>22</v>
      </c>
      <c r="G77" t="s">
        <v>33</v>
      </c>
      <c r="H77">
        <v>46</v>
      </c>
      <c r="I77" t="s">
        <v>17</v>
      </c>
      <c r="J77">
        <v>3</v>
      </c>
      <c r="K77" s="3">
        <v>45307</v>
      </c>
    </row>
    <row r="78" spans="1:11" x14ac:dyDescent="0.35">
      <c r="A78" t="s">
        <v>119</v>
      </c>
      <c r="B78" t="s">
        <v>55</v>
      </c>
      <c r="C78">
        <v>812.3</v>
      </c>
      <c r="D78" t="s">
        <v>39</v>
      </c>
      <c r="E78" t="s">
        <v>92</v>
      </c>
      <c r="F78" t="s">
        <v>22</v>
      </c>
      <c r="G78" t="s">
        <v>16</v>
      </c>
      <c r="H78">
        <v>45</v>
      </c>
      <c r="I78" t="s">
        <v>17</v>
      </c>
      <c r="J78">
        <v>5</v>
      </c>
      <c r="K78" s="3">
        <v>45366</v>
      </c>
    </row>
    <row r="79" spans="1:11" x14ac:dyDescent="0.35">
      <c r="A79" t="s">
        <v>169</v>
      </c>
      <c r="B79" t="s">
        <v>72</v>
      </c>
      <c r="C79">
        <v>1863.09</v>
      </c>
      <c r="D79" t="s">
        <v>27</v>
      </c>
      <c r="E79" t="s">
        <v>47</v>
      </c>
      <c r="F79" t="s">
        <v>22</v>
      </c>
      <c r="G79" t="s">
        <v>28</v>
      </c>
      <c r="H79">
        <v>45</v>
      </c>
      <c r="I79" t="s">
        <v>17</v>
      </c>
      <c r="J79">
        <v>2</v>
      </c>
      <c r="K79" s="3">
        <v>45716</v>
      </c>
    </row>
    <row r="80" spans="1:11" x14ac:dyDescent="0.35">
      <c r="A80" t="s">
        <v>166</v>
      </c>
      <c r="B80" t="s">
        <v>42</v>
      </c>
      <c r="C80">
        <v>405.35</v>
      </c>
      <c r="D80" t="s">
        <v>20</v>
      </c>
      <c r="E80" t="s">
        <v>32</v>
      </c>
      <c r="F80" t="s">
        <v>22</v>
      </c>
      <c r="G80" t="s">
        <v>28</v>
      </c>
      <c r="H80">
        <v>22</v>
      </c>
      <c r="I80" t="s">
        <v>17</v>
      </c>
      <c r="J80">
        <v>2</v>
      </c>
      <c r="K80" s="3">
        <v>45238</v>
      </c>
    </row>
    <row r="81" spans="1:11" x14ac:dyDescent="0.35">
      <c r="A81" t="s">
        <v>163</v>
      </c>
      <c r="B81" t="s">
        <v>26</v>
      </c>
      <c r="C81">
        <v>948.1</v>
      </c>
      <c r="D81" t="s">
        <v>39</v>
      </c>
      <c r="E81" t="s">
        <v>32</v>
      </c>
      <c r="F81" t="s">
        <v>22</v>
      </c>
      <c r="G81" t="s">
        <v>23</v>
      </c>
      <c r="H81">
        <v>32</v>
      </c>
      <c r="I81" t="s">
        <v>24</v>
      </c>
      <c r="J81">
        <v>5</v>
      </c>
      <c r="K81" s="3">
        <v>45626</v>
      </c>
    </row>
    <row r="82" spans="1:11" x14ac:dyDescent="0.35">
      <c r="A82" t="s">
        <v>123</v>
      </c>
      <c r="B82" t="s">
        <v>35</v>
      </c>
      <c r="C82">
        <v>905.86</v>
      </c>
      <c r="D82" t="s">
        <v>20</v>
      </c>
      <c r="E82" t="s">
        <v>92</v>
      </c>
      <c r="F82" t="s">
        <v>22</v>
      </c>
      <c r="G82" t="s">
        <v>23</v>
      </c>
      <c r="H82">
        <v>32</v>
      </c>
      <c r="I82" t="s">
        <v>17</v>
      </c>
      <c r="J82">
        <v>2</v>
      </c>
      <c r="K82" s="3">
        <v>45629</v>
      </c>
    </row>
    <row r="83" spans="1:11" x14ac:dyDescent="0.35">
      <c r="A83" t="s">
        <v>124</v>
      </c>
      <c r="B83" t="s">
        <v>55</v>
      </c>
      <c r="C83">
        <v>1618.4</v>
      </c>
      <c r="D83" t="s">
        <v>39</v>
      </c>
      <c r="E83" t="s">
        <v>32</v>
      </c>
      <c r="F83" t="s">
        <v>22</v>
      </c>
      <c r="G83" t="s">
        <v>28</v>
      </c>
      <c r="H83">
        <v>24</v>
      </c>
      <c r="I83" t="s">
        <v>17</v>
      </c>
      <c r="J83">
        <v>3</v>
      </c>
      <c r="K83" s="3">
        <v>45136</v>
      </c>
    </row>
    <row r="84" spans="1:11" x14ac:dyDescent="0.35">
      <c r="A84" t="s">
        <v>125</v>
      </c>
      <c r="B84" t="s">
        <v>30</v>
      </c>
      <c r="C84">
        <v>123.31</v>
      </c>
      <c r="D84" t="s">
        <v>39</v>
      </c>
      <c r="E84" t="s">
        <v>32</v>
      </c>
      <c r="F84" t="s">
        <v>22</v>
      </c>
      <c r="G84" t="s">
        <v>16</v>
      </c>
      <c r="H84">
        <v>35</v>
      </c>
      <c r="I84" t="s">
        <v>24</v>
      </c>
      <c r="J84">
        <v>3</v>
      </c>
      <c r="K84" s="3">
        <v>45322</v>
      </c>
    </row>
    <row r="85" spans="1:11" x14ac:dyDescent="0.35">
      <c r="A85" t="s">
        <v>126</v>
      </c>
      <c r="B85" t="s">
        <v>35</v>
      </c>
      <c r="C85">
        <v>1294.9000000000001</v>
      </c>
      <c r="D85" t="s">
        <v>20</v>
      </c>
      <c r="E85" t="s">
        <v>32</v>
      </c>
      <c r="F85" t="s">
        <v>22</v>
      </c>
      <c r="G85" t="s">
        <v>33</v>
      </c>
      <c r="H85">
        <v>31</v>
      </c>
      <c r="I85" t="s">
        <v>17</v>
      </c>
      <c r="J85">
        <v>3</v>
      </c>
      <c r="K85" s="3">
        <v>45417</v>
      </c>
    </row>
    <row r="86" spans="1:11" x14ac:dyDescent="0.35">
      <c r="A86" t="s">
        <v>160</v>
      </c>
      <c r="B86" t="s">
        <v>55</v>
      </c>
      <c r="C86">
        <v>592.13</v>
      </c>
      <c r="D86" t="s">
        <v>39</v>
      </c>
      <c r="E86" t="s">
        <v>21</v>
      </c>
      <c r="F86" t="s">
        <v>22</v>
      </c>
      <c r="G86" t="s">
        <v>33</v>
      </c>
      <c r="H86">
        <v>57</v>
      </c>
      <c r="I86" t="s">
        <v>17</v>
      </c>
      <c r="J86">
        <v>1</v>
      </c>
      <c r="K86" s="3">
        <v>45704</v>
      </c>
    </row>
    <row r="87" spans="1:11" x14ac:dyDescent="0.35">
      <c r="A87" t="s">
        <v>82</v>
      </c>
      <c r="B87" t="s">
        <v>72</v>
      </c>
      <c r="C87">
        <v>727.18</v>
      </c>
      <c r="D87" t="s">
        <v>27</v>
      </c>
      <c r="E87" t="s">
        <v>47</v>
      </c>
      <c r="F87" t="s">
        <v>22</v>
      </c>
      <c r="G87" t="s">
        <v>23</v>
      </c>
      <c r="H87">
        <v>51</v>
      </c>
      <c r="I87" t="s">
        <v>17</v>
      </c>
      <c r="J87">
        <v>3</v>
      </c>
      <c r="K87" s="3">
        <v>45812</v>
      </c>
    </row>
    <row r="88" spans="1:11" x14ac:dyDescent="0.35">
      <c r="A88" t="s">
        <v>129</v>
      </c>
      <c r="B88" t="s">
        <v>42</v>
      </c>
      <c r="C88">
        <v>282.5</v>
      </c>
      <c r="D88" t="s">
        <v>27</v>
      </c>
      <c r="E88" t="s">
        <v>92</v>
      </c>
      <c r="F88" t="s">
        <v>22</v>
      </c>
      <c r="G88" t="s">
        <v>33</v>
      </c>
      <c r="H88">
        <v>55</v>
      </c>
      <c r="I88" t="s">
        <v>17</v>
      </c>
      <c r="J88">
        <v>4</v>
      </c>
      <c r="K88" s="3">
        <v>45679</v>
      </c>
    </row>
    <row r="89" spans="1:11" x14ac:dyDescent="0.35">
      <c r="A89" t="s">
        <v>149</v>
      </c>
      <c r="B89" t="s">
        <v>19</v>
      </c>
      <c r="C89">
        <v>801.61</v>
      </c>
      <c r="D89" t="s">
        <v>39</v>
      </c>
      <c r="E89" t="s">
        <v>32</v>
      </c>
      <c r="F89" t="s">
        <v>22</v>
      </c>
      <c r="G89" t="s">
        <v>16</v>
      </c>
      <c r="H89">
        <v>39</v>
      </c>
      <c r="I89" t="s">
        <v>17</v>
      </c>
      <c r="J89">
        <v>4</v>
      </c>
      <c r="K89" s="3">
        <v>45304</v>
      </c>
    </row>
    <row r="90" spans="1:11" x14ac:dyDescent="0.35">
      <c r="A90" t="s">
        <v>143</v>
      </c>
      <c r="B90" t="s">
        <v>72</v>
      </c>
      <c r="C90">
        <v>1741.43</v>
      </c>
      <c r="D90" t="s">
        <v>39</v>
      </c>
      <c r="E90" t="s">
        <v>47</v>
      </c>
      <c r="F90" t="s">
        <v>22</v>
      </c>
      <c r="G90" t="s">
        <v>23</v>
      </c>
      <c r="H90">
        <v>21</v>
      </c>
      <c r="I90" t="s">
        <v>17</v>
      </c>
      <c r="J90">
        <v>3</v>
      </c>
      <c r="K90" s="3">
        <v>45559</v>
      </c>
    </row>
    <row r="91" spans="1:11" x14ac:dyDescent="0.35">
      <c r="A91" t="s">
        <v>142</v>
      </c>
      <c r="B91" t="s">
        <v>19</v>
      </c>
      <c r="C91">
        <v>1544.34</v>
      </c>
      <c r="D91" t="s">
        <v>27</v>
      </c>
      <c r="E91" t="s">
        <v>47</v>
      </c>
      <c r="F91" t="s">
        <v>22</v>
      </c>
      <c r="G91" t="s">
        <v>28</v>
      </c>
      <c r="H91">
        <v>44</v>
      </c>
      <c r="I91" t="s">
        <v>17</v>
      </c>
      <c r="J91">
        <v>5</v>
      </c>
      <c r="K91" s="3">
        <v>45266</v>
      </c>
    </row>
    <row r="92" spans="1:11" x14ac:dyDescent="0.35">
      <c r="A92" t="s">
        <v>135</v>
      </c>
      <c r="B92" t="s">
        <v>42</v>
      </c>
      <c r="C92">
        <v>111.25</v>
      </c>
      <c r="D92" t="s">
        <v>20</v>
      </c>
      <c r="E92" t="s">
        <v>92</v>
      </c>
      <c r="F92" t="s">
        <v>22</v>
      </c>
      <c r="G92" t="s">
        <v>23</v>
      </c>
      <c r="H92">
        <v>44</v>
      </c>
      <c r="I92" t="s">
        <v>24</v>
      </c>
      <c r="J92">
        <v>3</v>
      </c>
      <c r="K92" s="3">
        <v>45608</v>
      </c>
    </row>
    <row r="93" spans="1:11" x14ac:dyDescent="0.35">
      <c r="A93" t="s">
        <v>134</v>
      </c>
      <c r="B93" t="s">
        <v>12</v>
      </c>
      <c r="C93">
        <v>1916.88</v>
      </c>
      <c r="D93" t="s">
        <v>27</v>
      </c>
      <c r="E93" t="s">
        <v>32</v>
      </c>
      <c r="F93" t="s">
        <v>22</v>
      </c>
      <c r="G93" t="s">
        <v>16</v>
      </c>
      <c r="H93">
        <v>41</v>
      </c>
      <c r="I93" t="s">
        <v>24</v>
      </c>
      <c r="J93">
        <v>2</v>
      </c>
      <c r="K93" s="3">
        <v>45493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tabSelected="1" zoomScale="78" workbookViewId="0">
      <selection activeCell="B15" sqref="B15"/>
    </sheetView>
  </sheetViews>
  <sheetFormatPr defaultRowHeight="14.5" x14ac:dyDescent="0.35"/>
  <cols>
    <col min="1" max="1" width="13.26953125" bestFit="1" customWidth="1"/>
    <col min="2" max="2" width="22.26953125" bestFit="1" customWidth="1"/>
  </cols>
  <sheetData>
    <row r="1" spans="1:2" x14ac:dyDescent="0.35">
      <c r="A1" s="12" t="s">
        <v>6</v>
      </c>
      <c r="B1" t="s">
        <v>347</v>
      </c>
    </row>
    <row r="2" spans="1:2" x14ac:dyDescent="0.35">
      <c r="A2" s="12" t="s">
        <v>8</v>
      </c>
      <c r="B2" t="s">
        <v>347</v>
      </c>
    </row>
    <row r="4" spans="1:2" x14ac:dyDescent="0.35">
      <c r="A4" s="12" t="s">
        <v>344</v>
      </c>
      <c r="B4" t="s">
        <v>346</v>
      </c>
    </row>
    <row r="5" spans="1:2" x14ac:dyDescent="0.35">
      <c r="A5" s="13" t="s">
        <v>22</v>
      </c>
      <c r="B5" s="23">
        <v>95228.790000000023</v>
      </c>
    </row>
    <row r="6" spans="1:2" x14ac:dyDescent="0.35">
      <c r="A6" s="13" t="s">
        <v>15</v>
      </c>
      <c r="B6" s="23">
        <v>150907.24000000002</v>
      </c>
    </row>
    <row r="7" spans="1:2" x14ac:dyDescent="0.35">
      <c r="A7" s="13" t="s">
        <v>50</v>
      </c>
      <c r="B7" s="23">
        <v>59559.140000000007</v>
      </c>
    </row>
    <row r="8" spans="1:2" x14ac:dyDescent="0.35">
      <c r="A8" s="13" t="s">
        <v>345</v>
      </c>
      <c r="B8" s="23">
        <v>305695.17000000004</v>
      </c>
    </row>
    <row r="15" spans="1:2" x14ac:dyDescent="0.35">
      <c r="B15" t="s">
        <v>363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
  <sheetViews>
    <sheetView showGridLines="0" zoomScale="38" zoomScaleNormal="70" workbookViewId="0">
      <selection activeCell="F7" sqref="F7"/>
    </sheetView>
  </sheetViews>
  <sheetFormatPr defaultRowHeight="14.5" x14ac:dyDescent="0.35"/>
  <cols>
    <col min="1" max="1" width="23.1796875" bestFit="1" customWidth="1"/>
    <col min="2" max="2" width="22.453125" bestFit="1" customWidth="1"/>
    <col min="5" max="5" width="23.453125" bestFit="1" customWidth="1"/>
    <col min="6" max="6" width="18.54296875" bestFit="1" customWidth="1"/>
    <col min="9" max="9" width="20" bestFit="1" customWidth="1"/>
    <col min="10" max="10" width="21.81640625" customWidth="1"/>
  </cols>
  <sheetData>
    <row r="1" spans="1:18" x14ac:dyDescent="0.35">
      <c r="A1" s="22" t="s">
        <v>358</v>
      </c>
      <c r="B1" s="22"/>
      <c r="C1" s="22"/>
      <c r="D1" s="22"/>
      <c r="E1" s="22"/>
      <c r="F1" s="22"/>
      <c r="G1" s="22"/>
      <c r="H1" s="22"/>
      <c r="I1" s="22"/>
      <c r="J1" s="22"/>
      <c r="K1" s="22"/>
      <c r="L1" s="22"/>
      <c r="M1" s="22"/>
      <c r="N1" s="22"/>
      <c r="O1" s="22"/>
      <c r="P1" s="22"/>
      <c r="Q1" s="22"/>
      <c r="R1" s="22"/>
    </row>
    <row r="2" spans="1:18" x14ac:dyDescent="0.35">
      <c r="A2" s="22"/>
      <c r="B2" s="22"/>
      <c r="C2" s="22"/>
      <c r="D2" s="22"/>
      <c r="E2" s="22"/>
      <c r="F2" s="22"/>
      <c r="G2" s="22"/>
      <c r="H2" s="22"/>
      <c r="I2" s="22"/>
      <c r="J2" s="22"/>
      <c r="K2" s="22"/>
      <c r="L2" s="22"/>
      <c r="M2" s="22"/>
      <c r="N2" s="22"/>
      <c r="O2" s="22"/>
      <c r="P2" s="22"/>
      <c r="Q2" s="22"/>
      <c r="R2" s="22"/>
    </row>
    <row r="3" spans="1:18" x14ac:dyDescent="0.35">
      <c r="A3" s="22"/>
      <c r="B3" s="22"/>
      <c r="C3" s="22"/>
      <c r="D3" s="22"/>
      <c r="E3" s="22"/>
      <c r="F3" s="22"/>
      <c r="G3" s="22"/>
      <c r="H3" s="22"/>
      <c r="I3" s="22"/>
      <c r="J3" s="22"/>
      <c r="K3" s="22"/>
      <c r="L3" s="22"/>
      <c r="M3" s="22"/>
      <c r="N3" s="22"/>
      <c r="O3" s="22"/>
      <c r="P3" s="22"/>
      <c r="Q3" s="22"/>
      <c r="R3" s="22"/>
    </row>
    <row r="4" spans="1:18" x14ac:dyDescent="0.35">
      <c r="A4" s="22"/>
      <c r="B4" s="22"/>
      <c r="C4" s="22"/>
      <c r="D4" s="22"/>
      <c r="E4" s="22"/>
      <c r="F4" s="22"/>
      <c r="G4" s="22"/>
      <c r="H4" s="22"/>
      <c r="I4" s="22"/>
      <c r="J4" s="22"/>
      <c r="K4" s="22"/>
      <c r="L4" s="22"/>
      <c r="M4" s="22"/>
      <c r="N4" s="22"/>
      <c r="O4" s="22"/>
      <c r="P4" s="22"/>
      <c r="Q4" s="22"/>
      <c r="R4" s="22"/>
    </row>
    <row r="5" spans="1:18" x14ac:dyDescent="0.35">
      <c r="A5" s="22"/>
      <c r="B5" s="22"/>
      <c r="C5" s="22"/>
      <c r="D5" s="22"/>
      <c r="E5" s="22"/>
      <c r="F5" s="22"/>
      <c r="G5" s="22"/>
      <c r="H5" s="22"/>
      <c r="I5" s="22"/>
      <c r="J5" s="22"/>
      <c r="K5" s="22"/>
      <c r="L5" s="22"/>
      <c r="M5" s="22"/>
      <c r="N5" s="22"/>
      <c r="O5" s="22"/>
      <c r="P5" s="22"/>
      <c r="Q5" s="22"/>
      <c r="R5" s="22"/>
    </row>
    <row r="7" spans="1:18" s="20" customFormat="1" ht="30" customHeight="1" x14ac:dyDescent="0.35">
      <c r="A7" s="18" t="s">
        <v>359</v>
      </c>
      <c r="B7" s="21">
        <f>SUM(Data!C:C)</f>
        <v>305695.17</v>
      </c>
      <c r="E7" s="18" t="s">
        <v>360</v>
      </c>
      <c r="F7" s="21">
        <f>AVERAGE(Data!C:C)</f>
        <v>1018.9838999999999</v>
      </c>
      <c r="I7" s="18" t="s">
        <v>361</v>
      </c>
      <c r="J7" s="19">
        <f>COUNT(Data!C:C)</f>
        <v>300</v>
      </c>
    </row>
  </sheetData>
  <mergeCells count="1">
    <mergeCell ref="A1: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1:K301"/>
  <sheetViews>
    <sheetView showGridLines="0" zoomScale="52" zoomScaleNormal="52" workbookViewId="0">
      <selection activeCell="G8" sqref="G8"/>
    </sheetView>
  </sheetViews>
  <sheetFormatPr defaultColWidth="10" defaultRowHeight="14.5" x14ac:dyDescent="0.35"/>
  <cols>
    <col min="1" max="1" width="21.1796875" bestFit="1" customWidth="1"/>
    <col min="2" max="2" width="14.26953125" bestFit="1" customWidth="1"/>
    <col min="3" max="3" width="20.453125" style="1" bestFit="1" customWidth="1"/>
    <col min="4" max="4" width="18.54296875" bestFit="1" customWidth="1"/>
    <col min="5" max="5" width="18.7265625" bestFit="1" customWidth="1"/>
    <col min="6" max="6" width="12.453125" bestFit="1" customWidth="1"/>
    <col min="7" max="7" width="10.54296875" bestFit="1" customWidth="1"/>
    <col min="8" max="8" width="7" bestFit="1" customWidth="1"/>
    <col min="9" max="9" width="10.54296875" bestFit="1" customWidth="1"/>
    <col min="10" max="10" width="16.81640625" bestFit="1" customWidth="1"/>
    <col min="11" max="11" width="11.54296875" style="3" bestFit="1" customWidth="1"/>
  </cols>
  <sheetData>
    <row r="1" spans="1:11" x14ac:dyDescent="0.35">
      <c r="A1" s="6" t="s">
        <v>0</v>
      </c>
      <c r="B1" s="7" t="s">
        <v>1</v>
      </c>
      <c r="C1" s="7" t="s">
        <v>2</v>
      </c>
      <c r="D1" s="7" t="s">
        <v>3</v>
      </c>
      <c r="E1" s="7" t="s">
        <v>4</v>
      </c>
      <c r="F1" s="7" t="s">
        <v>5</v>
      </c>
      <c r="G1" s="7" t="s">
        <v>6</v>
      </c>
      <c r="H1" s="7" t="s">
        <v>7</v>
      </c>
      <c r="I1" s="7" t="s">
        <v>8</v>
      </c>
      <c r="J1" s="7" t="s">
        <v>9</v>
      </c>
      <c r="K1" s="8" t="s">
        <v>10</v>
      </c>
    </row>
    <row r="2" spans="1:11" x14ac:dyDescent="0.35">
      <c r="A2" s="4" t="s">
        <v>11</v>
      </c>
      <c r="B2" s="2" t="s">
        <v>12</v>
      </c>
      <c r="C2" s="2">
        <v>348.25</v>
      </c>
      <c r="D2" s="2" t="s">
        <v>13</v>
      </c>
      <c r="E2" s="2" t="s">
        <v>14</v>
      </c>
      <c r="F2" s="2" t="s">
        <v>15</v>
      </c>
      <c r="G2" s="2" t="s">
        <v>16</v>
      </c>
      <c r="H2" s="2">
        <v>35</v>
      </c>
      <c r="I2" s="2" t="s">
        <v>17</v>
      </c>
      <c r="J2" s="2">
        <v>5</v>
      </c>
      <c r="K2" s="5">
        <v>45257</v>
      </c>
    </row>
    <row r="3" spans="1:11" x14ac:dyDescent="0.35">
      <c r="A3" s="4" t="s">
        <v>18</v>
      </c>
      <c r="B3" s="2" t="s">
        <v>19</v>
      </c>
      <c r="C3" s="2">
        <v>1084.68</v>
      </c>
      <c r="D3" s="2" t="s">
        <v>20</v>
      </c>
      <c r="E3" s="2" t="s">
        <v>21</v>
      </c>
      <c r="F3" s="2" t="s">
        <v>22</v>
      </c>
      <c r="G3" s="2" t="s">
        <v>23</v>
      </c>
      <c r="H3" s="2">
        <v>47</v>
      </c>
      <c r="I3" s="2" t="s">
        <v>24</v>
      </c>
      <c r="J3" s="2">
        <v>5</v>
      </c>
      <c r="K3" s="5">
        <v>45705</v>
      </c>
    </row>
    <row r="4" spans="1:11" x14ac:dyDescent="0.35">
      <c r="A4" s="4" t="s">
        <v>25</v>
      </c>
      <c r="B4" s="2" t="s">
        <v>26</v>
      </c>
      <c r="C4" s="2">
        <v>910.25</v>
      </c>
      <c r="D4" s="2" t="s">
        <v>27</v>
      </c>
      <c r="E4" s="2" t="s">
        <v>21</v>
      </c>
      <c r="F4" s="2" t="s">
        <v>22</v>
      </c>
      <c r="G4" s="2" t="s">
        <v>28</v>
      </c>
      <c r="H4" s="2">
        <v>58</v>
      </c>
      <c r="I4" s="2" t="s">
        <v>17</v>
      </c>
      <c r="J4" s="2">
        <v>5</v>
      </c>
      <c r="K4" s="5">
        <v>45728</v>
      </c>
    </row>
    <row r="5" spans="1:11" x14ac:dyDescent="0.35">
      <c r="A5" s="4" t="s">
        <v>29</v>
      </c>
      <c r="B5" s="2" t="s">
        <v>30</v>
      </c>
      <c r="C5" s="2">
        <v>1391.1</v>
      </c>
      <c r="D5" s="2" t="s">
        <v>31</v>
      </c>
      <c r="E5" s="2" t="s">
        <v>32</v>
      </c>
      <c r="F5" s="2" t="s">
        <v>15</v>
      </c>
      <c r="G5" s="2" t="s">
        <v>33</v>
      </c>
      <c r="H5" s="2">
        <v>48</v>
      </c>
      <c r="I5" s="2" t="s">
        <v>24</v>
      </c>
      <c r="J5" s="2">
        <v>4</v>
      </c>
      <c r="K5" s="5">
        <v>45380</v>
      </c>
    </row>
    <row r="6" spans="1:11" x14ac:dyDescent="0.35">
      <c r="A6" s="4" t="s">
        <v>34</v>
      </c>
      <c r="B6" s="2" t="s">
        <v>35</v>
      </c>
      <c r="C6" s="2">
        <v>129.24</v>
      </c>
      <c r="D6" s="2" t="s">
        <v>36</v>
      </c>
      <c r="E6" s="2" t="s">
        <v>14</v>
      </c>
      <c r="F6" s="2" t="s">
        <v>15</v>
      </c>
      <c r="G6" s="2" t="s">
        <v>23</v>
      </c>
      <c r="H6" s="2">
        <v>37</v>
      </c>
      <c r="I6" s="2" t="s">
        <v>24</v>
      </c>
      <c r="J6" s="2">
        <v>5</v>
      </c>
      <c r="K6" s="5">
        <v>45578</v>
      </c>
    </row>
    <row r="7" spans="1:11" x14ac:dyDescent="0.35">
      <c r="A7" s="4" t="s">
        <v>37</v>
      </c>
      <c r="B7" s="2" t="s">
        <v>38</v>
      </c>
      <c r="C7" s="2">
        <v>513.16999999999996</v>
      </c>
      <c r="D7" s="2" t="s">
        <v>39</v>
      </c>
      <c r="E7" s="2" t="s">
        <v>32</v>
      </c>
      <c r="F7" s="2" t="s">
        <v>22</v>
      </c>
      <c r="G7" s="2" t="s">
        <v>23</v>
      </c>
      <c r="H7" s="2">
        <v>26</v>
      </c>
      <c r="I7" s="2" t="s">
        <v>17</v>
      </c>
      <c r="J7" s="2">
        <v>5</v>
      </c>
      <c r="K7" s="5">
        <v>45156</v>
      </c>
    </row>
    <row r="8" spans="1:11" x14ac:dyDescent="0.35">
      <c r="A8" s="4" t="s">
        <v>40</v>
      </c>
      <c r="B8" s="2" t="s">
        <v>19</v>
      </c>
      <c r="C8" s="2">
        <v>1847.98</v>
      </c>
      <c r="D8" s="2" t="s">
        <v>27</v>
      </c>
      <c r="E8" s="2" t="s">
        <v>21</v>
      </c>
      <c r="F8" s="2" t="s">
        <v>22</v>
      </c>
      <c r="G8" s="2" t="s">
        <v>28</v>
      </c>
      <c r="H8" s="2">
        <v>49</v>
      </c>
      <c r="I8" s="2" t="s">
        <v>17</v>
      </c>
      <c r="J8" s="2">
        <v>3</v>
      </c>
      <c r="K8" s="5">
        <v>45136</v>
      </c>
    </row>
    <row r="9" spans="1:11" x14ac:dyDescent="0.35">
      <c r="A9" s="4" t="s">
        <v>41</v>
      </c>
      <c r="B9" s="2" t="s">
        <v>42</v>
      </c>
      <c r="C9" s="2">
        <v>1122.79</v>
      </c>
      <c r="D9" s="2" t="s">
        <v>43</v>
      </c>
      <c r="E9" s="2" t="s">
        <v>32</v>
      </c>
      <c r="F9" s="2" t="s">
        <v>15</v>
      </c>
      <c r="G9" s="2" t="s">
        <v>28</v>
      </c>
      <c r="H9" s="2">
        <v>60</v>
      </c>
      <c r="I9" s="2" t="s">
        <v>24</v>
      </c>
      <c r="J9" s="2">
        <v>2</v>
      </c>
      <c r="K9" s="5">
        <v>45771</v>
      </c>
    </row>
    <row r="10" spans="1:11" x14ac:dyDescent="0.35">
      <c r="A10" s="4" t="s">
        <v>44</v>
      </c>
      <c r="B10" s="2" t="s">
        <v>30</v>
      </c>
      <c r="C10" s="2">
        <v>583.54999999999995</v>
      </c>
      <c r="D10" s="2" t="s">
        <v>45</v>
      </c>
      <c r="E10" s="2" t="s">
        <v>21</v>
      </c>
      <c r="F10" s="2" t="s">
        <v>15</v>
      </c>
      <c r="G10" s="2" t="s">
        <v>16</v>
      </c>
      <c r="H10" s="2">
        <v>22</v>
      </c>
      <c r="I10" s="2" t="s">
        <v>24</v>
      </c>
      <c r="J10" s="2">
        <v>2</v>
      </c>
      <c r="K10" s="5">
        <v>45527</v>
      </c>
    </row>
    <row r="11" spans="1:11" x14ac:dyDescent="0.35">
      <c r="A11" s="4" t="s">
        <v>46</v>
      </c>
      <c r="B11" s="2" t="s">
        <v>19</v>
      </c>
      <c r="C11" s="2">
        <v>524.09</v>
      </c>
      <c r="D11" s="2" t="s">
        <v>36</v>
      </c>
      <c r="E11" s="2" t="s">
        <v>47</v>
      </c>
      <c r="F11" s="2" t="s">
        <v>15</v>
      </c>
      <c r="G11" s="2" t="s">
        <v>28</v>
      </c>
      <c r="H11" s="2">
        <v>44</v>
      </c>
      <c r="I11" s="2" t="s">
        <v>17</v>
      </c>
      <c r="J11" s="2">
        <v>1</v>
      </c>
      <c r="K11" s="5">
        <v>45634</v>
      </c>
    </row>
    <row r="12" spans="1:11" x14ac:dyDescent="0.35">
      <c r="A12" s="4" t="s">
        <v>48</v>
      </c>
      <c r="B12" s="2" t="s">
        <v>42</v>
      </c>
      <c r="C12" s="2">
        <v>1837.98</v>
      </c>
      <c r="D12" s="2" t="s">
        <v>49</v>
      </c>
      <c r="E12" s="2" t="s">
        <v>21</v>
      </c>
      <c r="F12" s="2" t="s">
        <v>50</v>
      </c>
      <c r="G12" s="2" t="s">
        <v>16</v>
      </c>
      <c r="H12" s="2">
        <v>33</v>
      </c>
      <c r="I12" s="2" t="s">
        <v>17</v>
      </c>
      <c r="J12" s="2">
        <v>2</v>
      </c>
      <c r="K12" s="5">
        <v>45676</v>
      </c>
    </row>
    <row r="13" spans="1:11" x14ac:dyDescent="0.35">
      <c r="A13" s="4" t="s">
        <v>51</v>
      </c>
      <c r="B13" s="2" t="s">
        <v>30</v>
      </c>
      <c r="C13" s="2">
        <v>1535.3</v>
      </c>
      <c r="D13" s="2" t="s">
        <v>52</v>
      </c>
      <c r="E13" s="2" t="s">
        <v>32</v>
      </c>
      <c r="F13" s="2" t="s">
        <v>50</v>
      </c>
      <c r="G13" s="2" t="s">
        <v>33</v>
      </c>
      <c r="H13" s="2">
        <v>35</v>
      </c>
      <c r="I13" s="2" t="s">
        <v>17</v>
      </c>
      <c r="J13" s="2">
        <v>1</v>
      </c>
      <c r="K13" s="5">
        <v>45185</v>
      </c>
    </row>
    <row r="14" spans="1:11" x14ac:dyDescent="0.35">
      <c r="A14" s="4" t="s">
        <v>53</v>
      </c>
      <c r="B14" s="2" t="s">
        <v>38</v>
      </c>
      <c r="C14" s="2">
        <v>1189.52</v>
      </c>
      <c r="D14" s="2" t="s">
        <v>36</v>
      </c>
      <c r="E14" s="2" t="s">
        <v>47</v>
      </c>
      <c r="F14" s="2" t="s">
        <v>15</v>
      </c>
      <c r="G14" s="2" t="s">
        <v>28</v>
      </c>
      <c r="H14" s="2">
        <v>40</v>
      </c>
      <c r="I14" s="2" t="s">
        <v>17</v>
      </c>
      <c r="J14" s="2">
        <v>4</v>
      </c>
      <c r="K14" s="5">
        <v>45203</v>
      </c>
    </row>
    <row r="15" spans="1:11" x14ac:dyDescent="0.35">
      <c r="A15" s="4" t="s">
        <v>54</v>
      </c>
      <c r="B15" s="2" t="s">
        <v>55</v>
      </c>
      <c r="C15" s="2">
        <v>1942.94</v>
      </c>
      <c r="D15" s="2" t="s">
        <v>20</v>
      </c>
      <c r="E15" s="2" t="s">
        <v>47</v>
      </c>
      <c r="F15" s="2" t="s">
        <v>22</v>
      </c>
      <c r="G15" s="2" t="s">
        <v>23</v>
      </c>
      <c r="H15" s="2">
        <v>45</v>
      </c>
      <c r="I15" s="2" t="s">
        <v>17</v>
      </c>
      <c r="J15" s="2">
        <v>4</v>
      </c>
      <c r="K15" s="5">
        <v>45566</v>
      </c>
    </row>
    <row r="16" spans="1:11" x14ac:dyDescent="0.35">
      <c r="A16" s="4" t="s">
        <v>56</v>
      </c>
      <c r="B16" s="2" t="s">
        <v>35</v>
      </c>
      <c r="C16" s="2">
        <v>409.74</v>
      </c>
      <c r="D16" s="2" t="s">
        <v>43</v>
      </c>
      <c r="E16" s="2" t="s">
        <v>47</v>
      </c>
      <c r="F16" s="2" t="s">
        <v>15</v>
      </c>
      <c r="G16" s="2" t="s">
        <v>23</v>
      </c>
      <c r="H16" s="2">
        <v>51</v>
      </c>
      <c r="I16" s="2" t="s">
        <v>17</v>
      </c>
      <c r="J16" s="2">
        <v>1</v>
      </c>
      <c r="K16" s="5">
        <v>45718</v>
      </c>
    </row>
    <row r="17" spans="1:11" x14ac:dyDescent="0.35">
      <c r="A17" s="4" t="s">
        <v>57</v>
      </c>
      <c r="B17" s="2" t="s">
        <v>38</v>
      </c>
      <c r="C17" s="2">
        <v>1354.43</v>
      </c>
      <c r="D17" s="2" t="s">
        <v>13</v>
      </c>
      <c r="E17" s="2" t="s">
        <v>21</v>
      </c>
      <c r="F17" s="2" t="s">
        <v>15</v>
      </c>
      <c r="G17" s="2" t="s">
        <v>16</v>
      </c>
      <c r="H17" s="2">
        <v>35</v>
      </c>
      <c r="I17" s="2" t="s">
        <v>17</v>
      </c>
      <c r="J17" s="2">
        <v>2</v>
      </c>
      <c r="K17" s="5">
        <v>45167</v>
      </c>
    </row>
    <row r="18" spans="1:11" x14ac:dyDescent="0.35">
      <c r="A18" s="4" t="s">
        <v>58</v>
      </c>
      <c r="B18" s="2" t="s">
        <v>35</v>
      </c>
      <c r="C18" s="2">
        <v>1517.91</v>
      </c>
      <c r="D18" s="2" t="s">
        <v>43</v>
      </c>
      <c r="E18" s="2" t="s">
        <v>14</v>
      </c>
      <c r="F18" s="2" t="s">
        <v>15</v>
      </c>
      <c r="G18" s="2" t="s">
        <v>23</v>
      </c>
      <c r="H18" s="2">
        <v>45</v>
      </c>
      <c r="I18" s="2" t="s">
        <v>24</v>
      </c>
      <c r="J18" s="2">
        <v>2</v>
      </c>
      <c r="K18" s="5">
        <v>45425</v>
      </c>
    </row>
    <row r="19" spans="1:11" x14ac:dyDescent="0.35">
      <c r="A19" s="4" t="s">
        <v>59</v>
      </c>
      <c r="B19" s="2" t="s">
        <v>38</v>
      </c>
      <c r="C19" s="2">
        <v>1833.34</v>
      </c>
      <c r="D19" s="2" t="s">
        <v>39</v>
      </c>
      <c r="E19" s="2" t="s">
        <v>21</v>
      </c>
      <c r="F19" s="2" t="s">
        <v>22</v>
      </c>
      <c r="G19" s="2" t="s">
        <v>28</v>
      </c>
      <c r="H19" s="2">
        <v>23</v>
      </c>
      <c r="I19" s="2" t="s">
        <v>17</v>
      </c>
      <c r="J19" s="2">
        <v>1</v>
      </c>
      <c r="K19" s="5">
        <v>45140</v>
      </c>
    </row>
    <row r="20" spans="1:11" x14ac:dyDescent="0.35">
      <c r="A20" s="4" t="s">
        <v>60</v>
      </c>
      <c r="B20" s="2" t="s">
        <v>35</v>
      </c>
      <c r="C20" s="2">
        <v>1864.49</v>
      </c>
      <c r="D20" s="2" t="s">
        <v>43</v>
      </c>
      <c r="E20" s="2" t="s">
        <v>21</v>
      </c>
      <c r="F20" s="2" t="s">
        <v>15</v>
      </c>
      <c r="G20" s="2" t="s">
        <v>33</v>
      </c>
      <c r="H20" s="2">
        <v>24</v>
      </c>
      <c r="I20" s="2" t="s">
        <v>24</v>
      </c>
      <c r="J20" s="2">
        <v>2</v>
      </c>
      <c r="K20" s="5">
        <v>45396</v>
      </c>
    </row>
    <row r="21" spans="1:11" x14ac:dyDescent="0.35">
      <c r="A21" s="4" t="s">
        <v>61</v>
      </c>
      <c r="B21" s="2" t="s">
        <v>42</v>
      </c>
      <c r="C21" s="2">
        <v>1353.58</v>
      </c>
      <c r="D21" s="2" t="s">
        <v>20</v>
      </c>
      <c r="E21" s="2" t="s">
        <v>47</v>
      </c>
      <c r="F21" s="2" t="s">
        <v>22</v>
      </c>
      <c r="G21" s="2" t="s">
        <v>33</v>
      </c>
      <c r="H21" s="2">
        <v>20</v>
      </c>
      <c r="I21" s="2" t="s">
        <v>17</v>
      </c>
      <c r="J21" s="2">
        <v>1</v>
      </c>
      <c r="K21" s="5">
        <v>45666</v>
      </c>
    </row>
    <row r="22" spans="1:11" x14ac:dyDescent="0.35">
      <c r="A22" s="4" t="s">
        <v>62</v>
      </c>
      <c r="B22" s="2" t="s">
        <v>38</v>
      </c>
      <c r="C22" s="2">
        <v>785.26</v>
      </c>
      <c r="D22" s="2" t="s">
        <v>13</v>
      </c>
      <c r="E22" s="2" t="s">
        <v>32</v>
      </c>
      <c r="F22" s="2" t="s">
        <v>15</v>
      </c>
      <c r="G22" s="2" t="s">
        <v>33</v>
      </c>
      <c r="H22" s="2">
        <v>27</v>
      </c>
      <c r="I22" s="2" t="s">
        <v>17</v>
      </c>
      <c r="J22" s="2">
        <v>4</v>
      </c>
      <c r="K22" s="5">
        <v>45152</v>
      </c>
    </row>
    <row r="23" spans="1:11" x14ac:dyDescent="0.35">
      <c r="A23" s="4" t="s">
        <v>63</v>
      </c>
      <c r="B23" s="2" t="s">
        <v>35</v>
      </c>
      <c r="C23" s="2">
        <v>1191.26</v>
      </c>
      <c r="D23" s="2" t="s">
        <v>20</v>
      </c>
      <c r="E23" s="2" t="s">
        <v>47</v>
      </c>
      <c r="F23" s="2" t="s">
        <v>22</v>
      </c>
      <c r="G23" s="2" t="s">
        <v>33</v>
      </c>
      <c r="H23" s="2">
        <v>52</v>
      </c>
      <c r="I23" s="2" t="s">
        <v>17</v>
      </c>
      <c r="J23" s="2">
        <v>2</v>
      </c>
      <c r="K23" s="5">
        <v>45747</v>
      </c>
    </row>
    <row r="24" spans="1:11" x14ac:dyDescent="0.35">
      <c r="A24" s="4" t="s">
        <v>64</v>
      </c>
      <c r="B24" s="2" t="s">
        <v>65</v>
      </c>
      <c r="C24" s="2">
        <v>1050.6600000000001</v>
      </c>
      <c r="D24" s="2" t="s">
        <v>39</v>
      </c>
      <c r="E24" s="2" t="s">
        <v>47</v>
      </c>
      <c r="F24" s="2" t="s">
        <v>22</v>
      </c>
      <c r="G24" s="2" t="s">
        <v>33</v>
      </c>
      <c r="H24" s="2">
        <v>32</v>
      </c>
      <c r="I24" s="2" t="s">
        <v>17</v>
      </c>
      <c r="J24" s="2">
        <v>3</v>
      </c>
      <c r="K24" s="5">
        <v>45187</v>
      </c>
    </row>
    <row r="25" spans="1:11" x14ac:dyDescent="0.35">
      <c r="A25" s="4" t="s">
        <v>66</v>
      </c>
      <c r="B25" s="2" t="s">
        <v>65</v>
      </c>
      <c r="C25" s="2">
        <v>195.97</v>
      </c>
      <c r="D25" s="2" t="s">
        <v>49</v>
      </c>
      <c r="E25" s="2" t="s">
        <v>47</v>
      </c>
      <c r="F25" s="2" t="s">
        <v>50</v>
      </c>
      <c r="G25" s="2" t="s">
        <v>28</v>
      </c>
      <c r="H25" s="2">
        <v>58</v>
      </c>
      <c r="I25" s="2" t="s">
        <v>24</v>
      </c>
      <c r="J25" s="2">
        <v>3</v>
      </c>
      <c r="K25" s="5">
        <v>45358</v>
      </c>
    </row>
    <row r="26" spans="1:11" x14ac:dyDescent="0.35">
      <c r="A26" s="4" t="s">
        <v>67</v>
      </c>
      <c r="B26" s="2" t="s">
        <v>38</v>
      </c>
      <c r="C26" s="2">
        <v>1477.5</v>
      </c>
      <c r="D26" s="2" t="s">
        <v>52</v>
      </c>
      <c r="E26" s="2" t="s">
        <v>47</v>
      </c>
      <c r="F26" s="2" t="s">
        <v>50</v>
      </c>
      <c r="G26" s="2" t="s">
        <v>23</v>
      </c>
      <c r="H26" s="2">
        <v>35</v>
      </c>
      <c r="I26" s="2" t="s">
        <v>17</v>
      </c>
      <c r="J26" s="2">
        <v>3</v>
      </c>
      <c r="K26" s="5">
        <v>45757</v>
      </c>
    </row>
    <row r="27" spans="1:11" x14ac:dyDescent="0.35">
      <c r="A27" s="4" t="s">
        <v>68</v>
      </c>
      <c r="B27" s="2" t="s">
        <v>35</v>
      </c>
      <c r="C27" s="2">
        <v>767.77</v>
      </c>
      <c r="D27" s="2" t="s">
        <v>49</v>
      </c>
      <c r="E27" s="2" t="s">
        <v>32</v>
      </c>
      <c r="F27" s="2" t="s">
        <v>50</v>
      </c>
      <c r="G27" s="2" t="s">
        <v>23</v>
      </c>
      <c r="H27" s="2">
        <v>54</v>
      </c>
      <c r="I27" s="2" t="s">
        <v>24</v>
      </c>
      <c r="J27" s="2">
        <v>1</v>
      </c>
      <c r="K27" s="5">
        <v>45743</v>
      </c>
    </row>
    <row r="28" spans="1:11" x14ac:dyDescent="0.35">
      <c r="A28" s="4" t="s">
        <v>69</v>
      </c>
      <c r="B28" s="2" t="s">
        <v>12</v>
      </c>
      <c r="C28" s="2">
        <v>1854.01</v>
      </c>
      <c r="D28" s="2" t="s">
        <v>43</v>
      </c>
      <c r="E28" s="2" t="s">
        <v>21</v>
      </c>
      <c r="F28" s="2" t="s">
        <v>15</v>
      </c>
      <c r="G28" s="2" t="s">
        <v>16</v>
      </c>
      <c r="H28" s="2">
        <v>36</v>
      </c>
      <c r="I28" s="2" t="s">
        <v>24</v>
      </c>
      <c r="J28" s="2">
        <v>1</v>
      </c>
      <c r="K28" s="5">
        <v>45320</v>
      </c>
    </row>
    <row r="29" spans="1:11" x14ac:dyDescent="0.35">
      <c r="A29" s="4" t="s">
        <v>70</v>
      </c>
      <c r="B29" s="2" t="s">
        <v>55</v>
      </c>
      <c r="C29" s="2">
        <v>739.49</v>
      </c>
      <c r="D29" s="2" t="s">
        <v>13</v>
      </c>
      <c r="E29" s="2" t="s">
        <v>47</v>
      </c>
      <c r="F29" s="2" t="s">
        <v>15</v>
      </c>
      <c r="G29" s="2" t="s">
        <v>16</v>
      </c>
      <c r="H29" s="2">
        <v>39</v>
      </c>
      <c r="I29" s="2" t="s">
        <v>24</v>
      </c>
      <c r="J29" s="2">
        <v>3</v>
      </c>
      <c r="K29" s="5">
        <v>45795</v>
      </c>
    </row>
    <row r="30" spans="1:11" x14ac:dyDescent="0.35">
      <c r="A30" s="4" t="s">
        <v>71</v>
      </c>
      <c r="B30" s="2" t="s">
        <v>72</v>
      </c>
      <c r="C30" s="2">
        <v>1898.73</v>
      </c>
      <c r="D30" s="2" t="s">
        <v>39</v>
      </c>
      <c r="E30" s="2" t="s">
        <v>32</v>
      </c>
      <c r="F30" s="2" t="s">
        <v>22</v>
      </c>
      <c r="G30" s="2" t="s">
        <v>33</v>
      </c>
      <c r="H30" s="2">
        <v>27</v>
      </c>
      <c r="I30" s="2" t="s">
        <v>17</v>
      </c>
      <c r="J30" s="2">
        <v>4</v>
      </c>
      <c r="K30" s="5">
        <v>45726</v>
      </c>
    </row>
    <row r="31" spans="1:11" x14ac:dyDescent="0.35">
      <c r="A31" s="4" t="s">
        <v>73</v>
      </c>
      <c r="B31" s="2" t="s">
        <v>19</v>
      </c>
      <c r="C31" s="2">
        <v>212.69</v>
      </c>
      <c r="D31" s="2" t="s">
        <v>20</v>
      </c>
      <c r="E31" s="2" t="s">
        <v>47</v>
      </c>
      <c r="F31" s="2" t="s">
        <v>22</v>
      </c>
      <c r="G31" s="2" t="s">
        <v>23</v>
      </c>
      <c r="H31" s="2">
        <v>55</v>
      </c>
      <c r="I31" s="2" t="s">
        <v>17</v>
      </c>
      <c r="J31" s="2">
        <v>3</v>
      </c>
      <c r="K31" s="5">
        <v>45580</v>
      </c>
    </row>
    <row r="32" spans="1:11" x14ac:dyDescent="0.35">
      <c r="A32" s="4" t="s">
        <v>74</v>
      </c>
      <c r="B32" s="2" t="s">
        <v>35</v>
      </c>
      <c r="C32" s="2">
        <v>1065.47</v>
      </c>
      <c r="D32" s="2" t="s">
        <v>52</v>
      </c>
      <c r="E32" s="2" t="s">
        <v>21</v>
      </c>
      <c r="F32" s="2" t="s">
        <v>50</v>
      </c>
      <c r="G32" s="2" t="s">
        <v>33</v>
      </c>
      <c r="H32" s="2">
        <v>34</v>
      </c>
      <c r="I32" s="2" t="s">
        <v>17</v>
      </c>
      <c r="J32" s="2">
        <v>4</v>
      </c>
      <c r="K32" s="5">
        <v>45326</v>
      </c>
    </row>
    <row r="33" spans="1:11" x14ac:dyDescent="0.35">
      <c r="A33" s="4" t="s">
        <v>75</v>
      </c>
      <c r="B33" s="2" t="s">
        <v>12</v>
      </c>
      <c r="C33" s="2">
        <v>1232.77</v>
      </c>
      <c r="D33" s="2" t="s">
        <v>39</v>
      </c>
      <c r="E33" s="2" t="s">
        <v>32</v>
      </c>
      <c r="F33" s="2" t="s">
        <v>22</v>
      </c>
      <c r="G33" s="2" t="s">
        <v>28</v>
      </c>
      <c r="H33" s="2">
        <v>35</v>
      </c>
      <c r="I33" s="2" t="s">
        <v>24</v>
      </c>
      <c r="J33" s="2">
        <v>3</v>
      </c>
      <c r="K33" s="5">
        <v>45450</v>
      </c>
    </row>
    <row r="34" spans="1:11" x14ac:dyDescent="0.35">
      <c r="A34" s="4" t="s">
        <v>76</v>
      </c>
      <c r="B34" s="2" t="s">
        <v>38</v>
      </c>
      <c r="C34" s="2">
        <v>675.1</v>
      </c>
      <c r="D34" s="2" t="s">
        <v>13</v>
      </c>
      <c r="E34" s="2" t="s">
        <v>21</v>
      </c>
      <c r="F34" s="2" t="s">
        <v>15</v>
      </c>
      <c r="G34" s="2" t="s">
        <v>33</v>
      </c>
      <c r="H34" s="2">
        <v>56</v>
      </c>
      <c r="I34" s="2" t="s">
        <v>17</v>
      </c>
      <c r="J34" s="2">
        <v>2</v>
      </c>
      <c r="K34" s="5">
        <v>45674</v>
      </c>
    </row>
    <row r="35" spans="1:11" x14ac:dyDescent="0.35">
      <c r="A35" s="4" t="s">
        <v>77</v>
      </c>
      <c r="B35" s="2" t="s">
        <v>19</v>
      </c>
      <c r="C35" s="2">
        <v>508.48</v>
      </c>
      <c r="D35" s="2" t="s">
        <v>43</v>
      </c>
      <c r="E35" s="2" t="s">
        <v>21</v>
      </c>
      <c r="F35" s="2" t="s">
        <v>15</v>
      </c>
      <c r="G35" s="2" t="s">
        <v>33</v>
      </c>
      <c r="H35" s="2">
        <v>26</v>
      </c>
      <c r="I35" s="2" t="s">
        <v>17</v>
      </c>
      <c r="J35" s="2">
        <v>4</v>
      </c>
      <c r="K35" s="5">
        <v>45401</v>
      </c>
    </row>
    <row r="36" spans="1:11" x14ac:dyDescent="0.35">
      <c r="A36" s="4" t="s">
        <v>78</v>
      </c>
      <c r="B36" s="2" t="s">
        <v>35</v>
      </c>
      <c r="C36" s="2">
        <v>1877.32</v>
      </c>
      <c r="D36" s="2" t="s">
        <v>39</v>
      </c>
      <c r="E36" s="2" t="s">
        <v>14</v>
      </c>
      <c r="F36" s="2" t="s">
        <v>22</v>
      </c>
      <c r="G36" s="2" t="s">
        <v>16</v>
      </c>
      <c r="H36" s="2">
        <v>49</v>
      </c>
      <c r="I36" s="2" t="s">
        <v>24</v>
      </c>
      <c r="J36" s="2">
        <v>2</v>
      </c>
      <c r="K36" s="5">
        <v>45251</v>
      </c>
    </row>
    <row r="37" spans="1:11" x14ac:dyDescent="0.35">
      <c r="A37" s="4" t="s">
        <v>79</v>
      </c>
      <c r="B37" s="2" t="s">
        <v>30</v>
      </c>
      <c r="C37" s="2">
        <v>905.81</v>
      </c>
      <c r="D37" s="2" t="s">
        <v>13</v>
      </c>
      <c r="E37" s="2" t="s">
        <v>47</v>
      </c>
      <c r="F37" s="2" t="s">
        <v>15</v>
      </c>
      <c r="G37" s="2" t="s">
        <v>23</v>
      </c>
      <c r="H37" s="2">
        <v>41</v>
      </c>
      <c r="I37" s="2" t="s">
        <v>24</v>
      </c>
      <c r="J37" s="2">
        <v>5</v>
      </c>
      <c r="K37" s="5">
        <v>45606</v>
      </c>
    </row>
    <row r="38" spans="1:11" x14ac:dyDescent="0.35">
      <c r="A38" s="4" t="s">
        <v>80</v>
      </c>
      <c r="B38" s="2" t="s">
        <v>72</v>
      </c>
      <c r="C38" s="2">
        <v>412.98</v>
      </c>
      <c r="D38" s="2" t="s">
        <v>39</v>
      </c>
      <c r="E38" s="2" t="s">
        <v>47</v>
      </c>
      <c r="F38" s="2" t="s">
        <v>22</v>
      </c>
      <c r="G38" s="2" t="s">
        <v>23</v>
      </c>
      <c r="H38" s="2">
        <v>54</v>
      </c>
      <c r="I38" s="2" t="s">
        <v>24</v>
      </c>
      <c r="J38" s="2">
        <v>4</v>
      </c>
      <c r="K38" s="5">
        <v>45762</v>
      </c>
    </row>
    <row r="39" spans="1:11" x14ac:dyDescent="0.35">
      <c r="A39" s="4" t="s">
        <v>81</v>
      </c>
      <c r="B39" s="2" t="s">
        <v>38</v>
      </c>
      <c r="C39" s="2">
        <v>181.16</v>
      </c>
      <c r="D39" s="2" t="s">
        <v>36</v>
      </c>
      <c r="E39" s="2" t="s">
        <v>47</v>
      </c>
      <c r="F39" s="2" t="s">
        <v>15</v>
      </c>
      <c r="G39" s="2" t="s">
        <v>23</v>
      </c>
      <c r="H39" s="2">
        <v>35</v>
      </c>
      <c r="I39" s="2" t="s">
        <v>17</v>
      </c>
      <c r="J39" s="2">
        <v>5</v>
      </c>
      <c r="K39" s="5">
        <v>45175</v>
      </c>
    </row>
    <row r="40" spans="1:11" x14ac:dyDescent="0.35">
      <c r="A40" s="4" t="s">
        <v>82</v>
      </c>
      <c r="B40" s="2" t="s">
        <v>42</v>
      </c>
      <c r="C40" s="2">
        <v>290.37</v>
      </c>
      <c r="D40" s="2" t="s">
        <v>39</v>
      </c>
      <c r="E40" s="2" t="s">
        <v>47</v>
      </c>
      <c r="F40" s="2" t="s">
        <v>22</v>
      </c>
      <c r="G40" s="2" t="s">
        <v>33</v>
      </c>
      <c r="H40" s="2">
        <v>23</v>
      </c>
      <c r="I40" s="2" t="s">
        <v>24</v>
      </c>
      <c r="J40" s="2">
        <v>4</v>
      </c>
      <c r="K40" s="5">
        <v>45563</v>
      </c>
    </row>
    <row r="41" spans="1:11" x14ac:dyDescent="0.35">
      <c r="A41" s="4" t="s">
        <v>83</v>
      </c>
      <c r="B41" s="2" t="s">
        <v>38</v>
      </c>
      <c r="C41" s="2">
        <v>1785.49</v>
      </c>
      <c r="D41" s="2" t="s">
        <v>45</v>
      </c>
      <c r="E41" s="2" t="s">
        <v>32</v>
      </c>
      <c r="F41" s="2" t="s">
        <v>15</v>
      </c>
      <c r="G41" s="2" t="s">
        <v>23</v>
      </c>
      <c r="H41" s="2">
        <v>46</v>
      </c>
      <c r="I41" s="2" t="s">
        <v>24</v>
      </c>
      <c r="J41" s="2">
        <v>3</v>
      </c>
      <c r="K41" s="5">
        <v>45595</v>
      </c>
    </row>
    <row r="42" spans="1:11" x14ac:dyDescent="0.35">
      <c r="A42" s="4" t="s">
        <v>84</v>
      </c>
      <c r="B42" s="2" t="s">
        <v>26</v>
      </c>
      <c r="C42" s="2">
        <v>289.05</v>
      </c>
      <c r="D42" s="2" t="s">
        <v>31</v>
      </c>
      <c r="E42" s="2" t="s">
        <v>47</v>
      </c>
      <c r="F42" s="2" t="s">
        <v>15</v>
      </c>
      <c r="G42" s="2" t="s">
        <v>28</v>
      </c>
      <c r="H42" s="2">
        <v>44</v>
      </c>
      <c r="I42" s="2" t="s">
        <v>17</v>
      </c>
      <c r="J42" s="2">
        <v>1</v>
      </c>
      <c r="K42" s="5">
        <v>45607</v>
      </c>
    </row>
    <row r="43" spans="1:11" x14ac:dyDescent="0.35">
      <c r="A43" s="4" t="s">
        <v>85</v>
      </c>
      <c r="B43" s="2" t="s">
        <v>38</v>
      </c>
      <c r="C43" s="2">
        <v>596.80999999999995</v>
      </c>
      <c r="D43" s="2" t="s">
        <v>36</v>
      </c>
      <c r="E43" s="2" t="s">
        <v>21</v>
      </c>
      <c r="F43" s="2" t="s">
        <v>15</v>
      </c>
      <c r="G43" s="2" t="s">
        <v>28</v>
      </c>
      <c r="H43" s="2">
        <v>47</v>
      </c>
      <c r="I43" s="2" t="s">
        <v>17</v>
      </c>
      <c r="J43" s="2">
        <v>5</v>
      </c>
      <c r="K43" s="5">
        <v>45162</v>
      </c>
    </row>
    <row r="44" spans="1:11" x14ac:dyDescent="0.35">
      <c r="A44" s="4" t="s">
        <v>86</v>
      </c>
      <c r="B44" s="2" t="s">
        <v>35</v>
      </c>
      <c r="C44" s="2">
        <v>633.79</v>
      </c>
      <c r="D44" s="2" t="s">
        <v>43</v>
      </c>
      <c r="E44" s="2" t="s">
        <v>32</v>
      </c>
      <c r="F44" s="2" t="s">
        <v>15</v>
      </c>
      <c r="G44" s="2" t="s">
        <v>33</v>
      </c>
      <c r="H44" s="2">
        <v>33</v>
      </c>
      <c r="I44" s="2" t="s">
        <v>17</v>
      </c>
      <c r="J44" s="2">
        <v>4</v>
      </c>
      <c r="K44" s="5">
        <v>45485</v>
      </c>
    </row>
    <row r="45" spans="1:11" x14ac:dyDescent="0.35">
      <c r="A45" s="4" t="s">
        <v>87</v>
      </c>
      <c r="B45" s="2" t="s">
        <v>65</v>
      </c>
      <c r="C45" s="2">
        <v>1629.19</v>
      </c>
      <c r="D45" s="2" t="s">
        <v>13</v>
      </c>
      <c r="E45" s="2" t="s">
        <v>47</v>
      </c>
      <c r="F45" s="2" t="s">
        <v>15</v>
      </c>
      <c r="G45" s="2" t="s">
        <v>33</v>
      </c>
      <c r="H45" s="2">
        <v>57</v>
      </c>
      <c r="I45" s="2" t="s">
        <v>24</v>
      </c>
      <c r="J45" s="2">
        <v>5</v>
      </c>
      <c r="K45" s="5">
        <v>45410</v>
      </c>
    </row>
    <row r="46" spans="1:11" x14ac:dyDescent="0.35">
      <c r="A46" s="4" t="s">
        <v>88</v>
      </c>
      <c r="B46" s="2" t="s">
        <v>26</v>
      </c>
      <c r="C46" s="2">
        <v>808.12</v>
      </c>
      <c r="D46" s="2" t="s">
        <v>20</v>
      </c>
      <c r="E46" s="2" t="s">
        <v>47</v>
      </c>
      <c r="F46" s="2" t="s">
        <v>22</v>
      </c>
      <c r="G46" s="2" t="s">
        <v>23</v>
      </c>
      <c r="H46" s="2">
        <v>31</v>
      </c>
      <c r="I46" s="2" t="s">
        <v>24</v>
      </c>
      <c r="J46" s="2">
        <v>3</v>
      </c>
      <c r="K46" s="5">
        <v>45138</v>
      </c>
    </row>
    <row r="47" spans="1:11" x14ac:dyDescent="0.35">
      <c r="A47" s="4" t="s">
        <v>89</v>
      </c>
      <c r="B47" s="2" t="s">
        <v>30</v>
      </c>
      <c r="C47" s="2">
        <v>1315.12</v>
      </c>
      <c r="D47" s="2" t="s">
        <v>20</v>
      </c>
      <c r="E47" s="2" t="s">
        <v>21</v>
      </c>
      <c r="F47" s="2" t="s">
        <v>22</v>
      </c>
      <c r="G47" s="2" t="s">
        <v>16</v>
      </c>
      <c r="H47" s="2">
        <v>56</v>
      </c>
      <c r="I47" s="2" t="s">
        <v>17</v>
      </c>
      <c r="J47" s="2">
        <v>3</v>
      </c>
      <c r="K47" s="5">
        <v>45535</v>
      </c>
    </row>
    <row r="48" spans="1:11" x14ac:dyDescent="0.35">
      <c r="A48" s="4" t="s">
        <v>90</v>
      </c>
      <c r="B48" s="2" t="s">
        <v>42</v>
      </c>
      <c r="C48" s="2">
        <v>1941.62</v>
      </c>
      <c r="D48" s="2" t="s">
        <v>36</v>
      </c>
      <c r="E48" s="2" t="s">
        <v>21</v>
      </c>
      <c r="F48" s="2" t="s">
        <v>15</v>
      </c>
      <c r="G48" s="2" t="s">
        <v>16</v>
      </c>
      <c r="H48" s="2">
        <v>57</v>
      </c>
      <c r="I48" s="2" t="s">
        <v>17</v>
      </c>
      <c r="J48" s="2">
        <v>4</v>
      </c>
      <c r="K48" s="5">
        <v>45191</v>
      </c>
    </row>
    <row r="49" spans="1:11" x14ac:dyDescent="0.35">
      <c r="A49" s="4" t="s">
        <v>91</v>
      </c>
      <c r="B49" s="2" t="s">
        <v>55</v>
      </c>
      <c r="C49" s="2">
        <v>1760.25</v>
      </c>
      <c r="D49" s="2" t="s">
        <v>36</v>
      </c>
      <c r="E49" s="2" t="s">
        <v>92</v>
      </c>
      <c r="F49" s="2" t="s">
        <v>15</v>
      </c>
      <c r="G49" s="2" t="s">
        <v>28</v>
      </c>
      <c r="H49" s="2">
        <v>35</v>
      </c>
      <c r="I49" s="2" t="s">
        <v>24</v>
      </c>
      <c r="J49" s="2">
        <v>2</v>
      </c>
      <c r="K49" s="5">
        <v>45309</v>
      </c>
    </row>
    <row r="50" spans="1:11" x14ac:dyDescent="0.35">
      <c r="A50" s="4" t="s">
        <v>93</v>
      </c>
      <c r="B50" s="2" t="s">
        <v>72</v>
      </c>
      <c r="C50" s="2">
        <v>1947.78</v>
      </c>
      <c r="D50" s="2" t="s">
        <v>31</v>
      </c>
      <c r="E50" s="2" t="s">
        <v>47</v>
      </c>
      <c r="F50" s="2" t="s">
        <v>15</v>
      </c>
      <c r="G50" s="2" t="s">
        <v>33</v>
      </c>
      <c r="H50" s="2">
        <v>24</v>
      </c>
      <c r="I50" s="2" t="s">
        <v>17</v>
      </c>
      <c r="J50" s="2">
        <v>3</v>
      </c>
      <c r="K50" s="5">
        <v>45627</v>
      </c>
    </row>
    <row r="51" spans="1:11" x14ac:dyDescent="0.35">
      <c r="A51" s="4" t="s">
        <v>94</v>
      </c>
      <c r="B51" s="2" t="s">
        <v>65</v>
      </c>
      <c r="C51" s="2">
        <v>549.04999999999995</v>
      </c>
      <c r="D51" s="2" t="s">
        <v>45</v>
      </c>
      <c r="E51" s="2" t="s">
        <v>47</v>
      </c>
      <c r="F51" s="2" t="s">
        <v>15</v>
      </c>
      <c r="G51" s="2" t="s">
        <v>33</v>
      </c>
      <c r="H51" s="2">
        <v>52</v>
      </c>
      <c r="I51" s="2" t="s">
        <v>17</v>
      </c>
      <c r="J51" s="2">
        <v>4</v>
      </c>
      <c r="K51" s="5">
        <v>45571</v>
      </c>
    </row>
    <row r="52" spans="1:11" x14ac:dyDescent="0.35">
      <c r="A52" s="4" t="s">
        <v>95</v>
      </c>
      <c r="B52" s="2" t="s">
        <v>55</v>
      </c>
      <c r="C52" s="2">
        <v>1071.83</v>
      </c>
      <c r="D52" s="2" t="s">
        <v>49</v>
      </c>
      <c r="E52" s="2" t="s">
        <v>47</v>
      </c>
      <c r="F52" s="2" t="s">
        <v>50</v>
      </c>
      <c r="G52" s="2" t="s">
        <v>33</v>
      </c>
      <c r="H52" s="2">
        <v>38</v>
      </c>
      <c r="I52" s="2" t="s">
        <v>24</v>
      </c>
      <c r="J52" s="2">
        <v>3</v>
      </c>
      <c r="K52" s="5">
        <v>45399</v>
      </c>
    </row>
    <row r="53" spans="1:11" x14ac:dyDescent="0.35">
      <c r="A53" s="4" t="s">
        <v>96</v>
      </c>
      <c r="B53" s="2" t="s">
        <v>42</v>
      </c>
      <c r="C53" s="2">
        <v>1424.22</v>
      </c>
      <c r="D53" s="2" t="s">
        <v>13</v>
      </c>
      <c r="E53" s="2" t="s">
        <v>47</v>
      </c>
      <c r="F53" s="2" t="s">
        <v>15</v>
      </c>
      <c r="G53" s="2" t="s">
        <v>16</v>
      </c>
      <c r="H53" s="2">
        <v>55</v>
      </c>
      <c r="I53" s="2" t="s">
        <v>17</v>
      </c>
      <c r="J53" s="2">
        <v>4</v>
      </c>
      <c r="K53" s="5">
        <v>45208</v>
      </c>
    </row>
    <row r="54" spans="1:11" x14ac:dyDescent="0.35">
      <c r="A54" s="4" t="s">
        <v>97</v>
      </c>
      <c r="B54" s="2" t="s">
        <v>12</v>
      </c>
      <c r="C54" s="2">
        <v>450.83</v>
      </c>
      <c r="D54" s="2" t="s">
        <v>43</v>
      </c>
      <c r="E54" s="2" t="s">
        <v>21</v>
      </c>
      <c r="F54" s="2" t="s">
        <v>15</v>
      </c>
      <c r="G54" s="2" t="s">
        <v>28</v>
      </c>
      <c r="H54" s="2">
        <v>26</v>
      </c>
      <c r="I54" s="2" t="s">
        <v>17</v>
      </c>
      <c r="J54" s="2">
        <v>3</v>
      </c>
      <c r="K54" s="5">
        <v>45540</v>
      </c>
    </row>
    <row r="55" spans="1:11" x14ac:dyDescent="0.35">
      <c r="A55" s="4" t="s">
        <v>98</v>
      </c>
      <c r="B55" s="2" t="s">
        <v>12</v>
      </c>
      <c r="C55" s="2">
        <v>1498.15</v>
      </c>
      <c r="D55" s="2" t="s">
        <v>43</v>
      </c>
      <c r="E55" s="2" t="s">
        <v>32</v>
      </c>
      <c r="F55" s="2" t="s">
        <v>15</v>
      </c>
      <c r="G55" s="2" t="s">
        <v>28</v>
      </c>
      <c r="H55" s="2">
        <v>33</v>
      </c>
      <c r="I55" s="2" t="s">
        <v>24</v>
      </c>
      <c r="J55" s="2">
        <v>3</v>
      </c>
      <c r="K55" s="5">
        <v>45349</v>
      </c>
    </row>
    <row r="56" spans="1:11" x14ac:dyDescent="0.35">
      <c r="A56" s="4" t="s">
        <v>99</v>
      </c>
      <c r="B56" s="2" t="s">
        <v>12</v>
      </c>
      <c r="C56" s="2">
        <v>333.31</v>
      </c>
      <c r="D56" s="2" t="s">
        <v>27</v>
      </c>
      <c r="E56" s="2" t="s">
        <v>21</v>
      </c>
      <c r="F56" s="2" t="s">
        <v>22</v>
      </c>
      <c r="G56" s="2" t="s">
        <v>28</v>
      </c>
      <c r="H56" s="2">
        <v>36</v>
      </c>
      <c r="I56" s="2" t="s">
        <v>17</v>
      </c>
      <c r="J56" s="2">
        <v>2</v>
      </c>
      <c r="K56" s="5">
        <v>45285</v>
      </c>
    </row>
    <row r="57" spans="1:11" x14ac:dyDescent="0.35">
      <c r="A57" s="4" t="s">
        <v>100</v>
      </c>
      <c r="B57" s="2" t="s">
        <v>72</v>
      </c>
      <c r="C57" s="2">
        <v>971.53</v>
      </c>
      <c r="D57" s="2" t="s">
        <v>31</v>
      </c>
      <c r="E57" s="2" t="s">
        <v>47</v>
      </c>
      <c r="F57" s="2" t="s">
        <v>15</v>
      </c>
      <c r="G57" s="2" t="s">
        <v>33</v>
      </c>
      <c r="H57" s="2">
        <v>22</v>
      </c>
      <c r="I57" s="2" t="s">
        <v>17</v>
      </c>
      <c r="J57" s="2">
        <v>4</v>
      </c>
      <c r="K57" s="5">
        <v>45114</v>
      </c>
    </row>
    <row r="58" spans="1:11" x14ac:dyDescent="0.35">
      <c r="A58" s="4" t="s">
        <v>101</v>
      </c>
      <c r="B58" s="2" t="s">
        <v>65</v>
      </c>
      <c r="C58" s="2">
        <v>1932.74</v>
      </c>
      <c r="D58" s="2" t="s">
        <v>31</v>
      </c>
      <c r="E58" s="2" t="s">
        <v>32</v>
      </c>
      <c r="F58" s="2" t="s">
        <v>15</v>
      </c>
      <c r="G58" s="2" t="s">
        <v>23</v>
      </c>
      <c r="H58" s="2">
        <v>55</v>
      </c>
      <c r="I58" s="2" t="s">
        <v>17</v>
      </c>
      <c r="J58" s="2">
        <v>4</v>
      </c>
      <c r="K58" s="5">
        <v>45778</v>
      </c>
    </row>
    <row r="59" spans="1:11" x14ac:dyDescent="0.35">
      <c r="A59" s="4" t="s">
        <v>102</v>
      </c>
      <c r="B59" s="2" t="s">
        <v>26</v>
      </c>
      <c r="C59" s="2">
        <v>993.7</v>
      </c>
      <c r="D59" s="2" t="s">
        <v>36</v>
      </c>
      <c r="E59" s="2" t="s">
        <v>21</v>
      </c>
      <c r="F59" s="2" t="s">
        <v>15</v>
      </c>
      <c r="G59" s="2" t="s">
        <v>16</v>
      </c>
      <c r="H59" s="2">
        <v>54</v>
      </c>
      <c r="I59" s="2" t="s">
        <v>17</v>
      </c>
      <c r="J59" s="2">
        <v>4</v>
      </c>
      <c r="K59" s="5">
        <v>45106</v>
      </c>
    </row>
    <row r="60" spans="1:11" x14ac:dyDescent="0.35">
      <c r="A60" s="4" t="s">
        <v>103</v>
      </c>
      <c r="B60" s="2" t="s">
        <v>72</v>
      </c>
      <c r="C60" s="2">
        <v>223.08</v>
      </c>
      <c r="D60" s="2" t="s">
        <v>13</v>
      </c>
      <c r="E60" s="2" t="s">
        <v>92</v>
      </c>
      <c r="F60" s="2" t="s">
        <v>15</v>
      </c>
      <c r="G60" s="2" t="s">
        <v>28</v>
      </c>
      <c r="H60" s="2">
        <v>47</v>
      </c>
      <c r="I60" s="2" t="s">
        <v>17</v>
      </c>
      <c r="J60" s="2">
        <v>4</v>
      </c>
      <c r="K60" s="5">
        <v>45402</v>
      </c>
    </row>
    <row r="61" spans="1:11" x14ac:dyDescent="0.35">
      <c r="A61" s="4" t="s">
        <v>104</v>
      </c>
      <c r="B61" s="2" t="s">
        <v>30</v>
      </c>
      <c r="C61" s="2">
        <v>1997.36</v>
      </c>
      <c r="D61" s="2" t="s">
        <v>43</v>
      </c>
      <c r="E61" s="2" t="s">
        <v>92</v>
      </c>
      <c r="F61" s="2" t="s">
        <v>15</v>
      </c>
      <c r="G61" s="2" t="s">
        <v>16</v>
      </c>
      <c r="H61" s="2">
        <v>33</v>
      </c>
      <c r="I61" s="2" t="s">
        <v>17</v>
      </c>
      <c r="J61" s="2">
        <v>5</v>
      </c>
      <c r="K61" s="5">
        <v>45536</v>
      </c>
    </row>
    <row r="62" spans="1:11" x14ac:dyDescent="0.35">
      <c r="A62" s="4" t="s">
        <v>105</v>
      </c>
      <c r="B62" s="2" t="s">
        <v>72</v>
      </c>
      <c r="C62" s="2">
        <v>1134.45</v>
      </c>
      <c r="D62" s="2" t="s">
        <v>49</v>
      </c>
      <c r="E62" s="2" t="s">
        <v>47</v>
      </c>
      <c r="F62" s="2" t="s">
        <v>50</v>
      </c>
      <c r="G62" s="2" t="s">
        <v>28</v>
      </c>
      <c r="H62" s="2">
        <v>59</v>
      </c>
      <c r="I62" s="2" t="s">
        <v>17</v>
      </c>
      <c r="J62" s="2">
        <v>5</v>
      </c>
      <c r="K62" s="5">
        <v>45502</v>
      </c>
    </row>
    <row r="63" spans="1:11" x14ac:dyDescent="0.35">
      <c r="A63" s="4" t="s">
        <v>106</v>
      </c>
      <c r="B63" s="2" t="s">
        <v>72</v>
      </c>
      <c r="C63" s="2">
        <v>1843.7</v>
      </c>
      <c r="D63" s="2" t="s">
        <v>13</v>
      </c>
      <c r="E63" s="2" t="s">
        <v>92</v>
      </c>
      <c r="F63" s="2" t="s">
        <v>15</v>
      </c>
      <c r="G63" s="2" t="s">
        <v>16</v>
      </c>
      <c r="H63" s="2">
        <v>21</v>
      </c>
      <c r="I63" s="2" t="s">
        <v>24</v>
      </c>
      <c r="J63" s="2">
        <v>4</v>
      </c>
      <c r="K63" s="5">
        <v>45410</v>
      </c>
    </row>
    <row r="64" spans="1:11" x14ac:dyDescent="0.35">
      <c r="A64" s="4" t="s">
        <v>107</v>
      </c>
      <c r="B64" s="2" t="s">
        <v>42</v>
      </c>
      <c r="C64" s="2">
        <v>255.2</v>
      </c>
      <c r="D64" s="2" t="s">
        <v>49</v>
      </c>
      <c r="E64" s="2" t="s">
        <v>32</v>
      </c>
      <c r="F64" s="2" t="s">
        <v>50</v>
      </c>
      <c r="G64" s="2" t="s">
        <v>23</v>
      </c>
      <c r="H64" s="2">
        <v>30</v>
      </c>
      <c r="I64" s="2" t="s">
        <v>17</v>
      </c>
      <c r="J64" s="2">
        <v>1</v>
      </c>
      <c r="K64" s="5">
        <v>45711</v>
      </c>
    </row>
    <row r="65" spans="1:11" x14ac:dyDescent="0.35">
      <c r="A65" s="4" t="s">
        <v>108</v>
      </c>
      <c r="B65" s="2" t="s">
        <v>55</v>
      </c>
      <c r="C65" s="2">
        <v>1989.69</v>
      </c>
      <c r="D65" s="2" t="s">
        <v>20</v>
      </c>
      <c r="E65" s="2" t="s">
        <v>32</v>
      </c>
      <c r="F65" s="2" t="s">
        <v>22</v>
      </c>
      <c r="G65" s="2" t="s">
        <v>33</v>
      </c>
      <c r="H65" s="2">
        <v>34</v>
      </c>
      <c r="I65" s="2" t="s">
        <v>24</v>
      </c>
      <c r="J65" s="2">
        <v>3</v>
      </c>
      <c r="K65" s="5">
        <v>45112</v>
      </c>
    </row>
    <row r="66" spans="1:11" x14ac:dyDescent="0.35">
      <c r="A66" s="4" t="s">
        <v>109</v>
      </c>
      <c r="B66" s="2" t="s">
        <v>38</v>
      </c>
      <c r="C66" s="2">
        <v>714.76</v>
      </c>
      <c r="D66" s="2" t="s">
        <v>36</v>
      </c>
      <c r="E66" s="2" t="s">
        <v>47</v>
      </c>
      <c r="F66" s="2" t="s">
        <v>15</v>
      </c>
      <c r="G66" s="2" t="s">
        <v>16</v>
      </c>
      <c r="H66" s="2">
        <v>34</v>
      </c>
      <c r="I66" s="2" t="s">
        <v>17</v>
      </c>
      <c r="J66" s="2">
        <v>4</v>
      </c>
      <c r="K66" s="5">
        <v>45335</v>
      </c>
    </row>
    <row r="67" spans="1:11" x14ac:dyDescent="0.35">
      <c r="A67" s="4" t="s">
        <v>110</v>
      </c>
      <c r="B67" s="2" t="s">
        <v>55</v>
      </c>
      <c r="C67" s="2">
        <v>827.91</v>
      </c>
      <c r="D67" s="2" t="s">
        <v>13</v>
      </c>
      <c r="E67" s="2" t="s">
        <v>32</v>
      </c>
      <c r="F67" s="2" t="s">
        <v>15</v>
      </c>
      <c r="G67" s="2" t="s">
        <v>16</v>
      </c>
      <c r="H67" s="2">
        <v>24</v>
      </c>
      <c r="I67" s="2" t="s">
        <v>24</v>
      </c>
      <c r="J67" s="2">
        <v>2</v>
      </c>
      <c r="K67" s="5">
        <v>45625</v>
      </c>
    </row>
    <row r="68" spans="1:11" x14ac:dyDescent="0.35">
      <c r="A68" s="4" t="s">
        <v>111</v>
      </c>
      <c r="B68" s="2" t="s">
        <v>55</v>
      </c>
      <c r="C68" s="2">
        <v>151.19999999999999</v>
      </c>
      <c r="D68" s="2" t="s">
        <v>43</v>
      </c>
      <c r="E68" s="2" t="s">
        <v>92</v>
      </c>
      <c r="F68" s="2" t="s">
        <v>15</v>
      </c>
      <c r="G68" s="2" t="s">
        <v>16</v>
      </c>
      <c r="H68" s="2">
        <v>54</v>
      </c>
      <c r="I68" s="2" t="s">
        <v>17</v>
      </c>
      <c r="J68" s="2">
        <v>1</v>
      </c>
      <c r="K68" s="5">
        <v>45777</v>
      </c>
    </row>
    <row r="69" spans="1:11" x14ac:dyDescent="0.35">
      <c r="A69" s="4" t="s">
        <v>112</v>
      </c>
      <c r="B69" s="2" t="s">
        <v>12</v>
      </c>
      <c r="C69" s="2">
        <v>1530.59</v>
      </c>
      <c r="D69" s="2" t="s">
        <v>39</v>
      </c>
      <c r="E69" s="2" t="s">
        <v>14</v>
      </c>
      <c r="F69" s="2" t="s">
        <v>22</v>
      </c>
      <c r="G69" s="2" t="s">
        <v>23</v>
      </c>
      <c r="H69" s="2">
        <v>57</v>
      </c>
      <c r="I69" s="2" t="s">
        <v>24</v>
      </c>
      <c r="J69" s="2">
        <v>4</v>
      </c>
      <c r="K69" s="5">
        <v>45398</v>
      </c>
    </row>
    <row r="70" spans="1:11" x14ac:dyDescent="0.35">
      <c r="A70" s="4" t="s">
        <v>113</v>
      </c>
      <c r="B70" s="2" t="s">
        <v>42</v>
      </c>
      <c r="C70" s="2">
        <v>200.6</v>
      </c>
      <c r="D70" s="2" t="s">
        <v>27</v>
      </c>
      <c r="E70" s="2" t="s">
        <v>92</v>
      </c>
      <c r="F70" s="2" t="s">
        <v>22</v>
      </c>
      <c r="G70" s="2" t="s">
        <v>23</v>
      </c>
      <c r="H70" s="2">
        <v>47</v>
      </c>
      <c r="I70" s="2" t="s">
        <v>17</v>
      </c>
      <c r="J70" s="2">
        <v>4</v>
      </c>
      <c r="K70" s="5">
        <v>45510</v>
      </c>
    </row>
    <row r="71" spans="1:11" x14ac:dyDescent="0.35">
      <c r="A71" s="4" t="s">
        <v>114</v>
      </c>
      <c r="B71" s="2" t="s">
        <v>19</v>
      </c>
      <c r="C71" s="2">
        <v>215.85</v>
      </c>
      <c r="D71" s="2" t="s">
        <v>36</v>
      </c>
      <c r="E71" s="2" t="s">
        <v>47</v>
      </c>
      <c r="F71" s="2" t="s">
        <v>15</v>
      </c>
      <c r="G71" s="2" t="s">
        <v>33</v>
      </c>
      <c r="H71" s="2">
        <v>44</v>
      </c>
      <c r="I71" s="2" t="s">
        <v>24</v>
      </c>
      <c r="J71" s="2">
        <v>1</v>
      </c>
      <c r="K71" s="5">
        <v>45355</v>
      </c>
    </row>
    <row r="72" spans="1:11" x14ac:dyDescent="0.35">
      <c r="A72" s="4" t="s">
        <v>115</v>
      </c>
      <c r="B72" s="2" t="s">
        <v>65</v>
      </c>
      <c r="C72" s="2">
        <v>1801.26</v>
      </c>
      <c r="D72" s="2" t="s">
        <v>13</v>
      </c>
      <c r="E72" s="2" t="s">
        <v>32</v>
      </c>
      <c r="F72" s="2" t="s">
        <v>15</v>
      </c>
      <c r="G72" s="2" t="s">
        <v>23</v>
      </c>
      <c r="H72" s="2">
        <v>20</v>
      </c>
      <c r="I72" s="2" t="s">
        <v>17</v>
      </c>
      <c r="J72" s="2">
        <v>2</v>
      </c>
      <c r="K72" s="5">
        <v>45530</v>
      </c>
    </row>
    <row r="73" spans="1:11" x14ac:dyDescent="0.35">
      <c r="A73" s="4" t="s">
        <v>116</v>
      </c>
      <c r="B73" s="2" t="s">
        <v>26</v>
      </c>
      <c r="C73" s="2">
        <v>1981.2</v>
      </c>
      <c r="D73" s="2" t="s">
        <v>39</v>
      </c>
      <c r="E73" s="2" t="s">
        <v>32</v>
      </c>
      <c r="F73" s="2" t="s">
        <v>22</v>
      </c>
      <c r="G73" s="2" t="s">
        <v>23</v>
      </c>
      <c r="H73" s="2">
        <v>41</v>
      </c>
      <c r="I73" s="2" t="s">
        <v>24</v>
      </c>
      <c r="J73" s="2">
        <v>1</v>
      </c>
      <c r="K73" s="5">
        <v>45469</v>
      </c>
    </row>
    <row r="74" spans="1:11" x14ac:dyDescent="0.35">
      <c r="A74" s="4" t="s">
        <v>117</v>
      </c>
      <c r="B74" s="2" t="s">
        <v>19</v>
      </c>
      <c r="C74" s="2">
        <v>1951.62</v>
      </c>
      <c r="D74" s="2" t="s">
        <v>36</v>
      </c>
      <c r="E74" s="2" t="s">
        <v>92</v>
      </c>
      <c r="F74" s="2" t="s">
        <v>15</v>
      </c>
      <c r="G74" s="2" t="s">
        <v>28</v>
      </c>
      <c r="H74" s="2">
        <v>46</v>
      </c>
      <c r="I74" s="2" t="s">
        <v>17</v>
      </c>
      <c r="J74" s="2">
        <v>1</v>
      </c>
      <c r="K74" s="5">
        <v>45378</v>
      </c>
    </row>
    <row r="75" spans="1:11" x14ac:dyDescent="0.35">
      <c r="A75" s="4" t="s">
        <v>118</v>
      </c>
      <c r="B75" s="2" t="s">
        <v>38</v>
      </c>
      <c r="C75" s="2">
        <v>1330.3</v>
      </c>
      <c r="D75" s="2" t="s">
        <v>39</v>
      </c>
      <c r="E75" s="2" t="s">
        <v>92</v>
      </c>
      <c r="F75" s="2" t="s">
        <v>22</v>
      </c>
      <c r="G75" s="2" t="s">
        <v>33</v>
      </c>
      <c r="H75" s="2">
        <v>46</v>
      </c>
      <c r="I75" s="2" t="s">
        <v>17</v>
      </c>
      <c r="J75" s="2">
        <v>3</v>
      </c>
      <c r="K75" s="5">
        <v>45307</v>
      </c>
    </row>
    <row r="76" spans="1:11" x14ac:dyDescent="0.35">
      <c r="A76" s="4" t="s">
        <v>119</v>
      </c>
      <c r="B76" s="2" t="s">
        <v>55</v>
      </c>
      <c r="C76" s="2">
        <v>812.3</v>
      </c>
      <c r="D76" s="2" t="s">
        <v>39</v>
      </c>
      <c r="E76" s="2" t="s">
        <v>92</v>
      </c>
      <c r="F76" s="2" t="s">
        <v>22</v>
      </c>
      <c r="G76" s="2" t="s">
        <v>16</v>
      </c>
      <c r="H76" s="2">
        <v>45</v>
      </c>
      <c r="I76" s="2" t="s">
        <v>17</v>
      </c>
      <c r="J76" s="2">
        <v>5</v>
      </c>
      <c r="K76" s="5">
        <v>45366</v>
      </c>
    </row>
    <row r="77" spans="1:11" x14ac:dyDescent="0.35">
      <c r="A77" s="4" t="s">
        <v>120</v>
      </c>
      <c r="B77" s="2" t="s">
        <v>30</v>
      </c>
      <c r="C77" s="2">
        <v>1479.47</v>
      </c>
      <c r="D77" s="2" t="s">
        <v>43</v>
      </c>
      <c r="E77" s="2" t="s">
        <v>32</v>
      </c>
      <c r="F77" s="2" t="s">
        <v>15</v>
      </c>
      <c r="G77" s="2" t="s">
        <v>33</v>
      </c>
      <c r="H77" s="2">
        <v>47</v>
      </c>
      <c r="I77" s="2" t="s">
        <v>24</v>
      </c>
      <c r="J77" s="2">
        <v>5</v>
      </c>
      <c r="K77" s="5">
        <v>45343</v>
      </c>
    </row>
    <row r="78" spans="1:11" x14ac:dyDescent="0.35">
      <c r="A78" s="4" t="s">
        <v>121</v>
      </c>
      <c r="B78" s="2" t="s">
        <v>26</v>
      </c>
      <c r="C78" s="2">
        <v>984.54</v>
      </c>
      <c r="D78" s="2" t="s">
        <v>13</v>
      </c>
      <c r="E78" s="2" t="s">
        <v>47</v>
      </c>
      <c r="F78" s="2" t="s">
        <v>15</v>
      </c>
      <c r="G78" s="2" t="s">
        <v>33</v>
      </c>
      <c r="H78" s="2">
        <v>33</v>
      </c>
      <c r="I78" s="2" t="s">
        <v>24</v>
      </c>
      <c r="J78" s="2">
        <v>5</v>
      </c>
      <c r="K78" s="5">
        <v>45242</v>
      </c>
    </row>
    <row r="79" spans="1:11" x14ac:dyDescent="0.35">
      <c r="A79" s="4" t="s">
        <v>122</v>
      </c>
      <c r="B79" s="2" t="s">
        <v>38</v>
      </c>
      <c r="C79" s="2">
        <v>923.85</v>
      </c>
      <c r="D79" s="2" t="s">
        <v>43</v>
      </c>
      <c r="E79" s="2" t="s">
        <v>47</v>
      </c>
      <c r="F79" s="2" t="s">
        <v>15</v>
      </c>
      <c r="G79" s="2" t="s">
        <v>28</v>
      </c>
      <c r="H79" s="2">
        <v>60</v>
      </c>
      <c r="I79" s="2" t="s">
        <v>17</v>
      </c>
      <c r="J79" s="2">
        <v>2</v>
      </c>
      <c r="K79" s="5">
        <v>45743</v>
      </c>
    </row>
    <row r="80" spans="1:11" x14ac:dyDescent="0.35">
      <c r="A80" s="4" t="s">
        <v>123</v>
      </c>
      <c r="B80" s="2" t="s">
        <v>35</v>
      </c>
      <c r="C80" s="2">
        <v>905.86</v>
      </c>
      <c r="D80" s="2" t="s">
        <v>20</v>
      </c>
      <c r="E80" s="2" t="s">
        <v>92</v>
      </c>
      <c r="F80" s="2" t="s">
        <v>22</v>
      </c>
      <c r="G80" s="2" t="s">
        <v>23</v>
      </c>
      <c r="H80" s="2">
        <v>32</v>
      </c>
      <c r="I80" s="2" t="s">
        <v>17</v>
      </c>
      <c r="J80" s="2">
        <v>2</v>
      </c>
      <c r="K80" s="5">
        <v>45629</v>
      </c>
    </row>
    <row r="81" spans="1:11" x14ac:dyDescent="0.35">
      <c r="A81" s="4" t="s">
        <v>124</v>
      </c>
      <c r="B81" s="2" t="s">
        <v>55</v>
      </c>
      <c r="C81" s="2">
        <v>1618.4</v>
      </c>
      <c r="D81" s="2" t="s">
        <v>39</v>
      </c>
      <c r="E81" s="2" t="s">
        <v>32</v>
      </c>
      <c r="F81" s="2" t="s">
        <v>22</v>
      </c>
      <c r="G81" s="2" t="s">
        <v>28</v>
      </c>
      <c r="H81" s="2">
        <v>24</v>
      </c>
      <c r="I81" s="2" t="s">
        <v>17</v>
      </c>
      <c r="J81" s="2">
        <v>3</v>
      </c>
      <c r="K81" s="5">
        <v>45136</v>
      </c>
    </row>
    <row r="82" spans="1:11" x14ac:dyDescent="0.35">
      <c r="A82" s="4" t="s">
        <v>125</v>
      </c>
      <c r="B82" s="2" t="s">
        <v>30</v>
      </c>
      <c r="C82" s="2">
        <v>123.31</v>
      </c>
      <c r="D82" s="2" t="s">
        <v>39</v>
      </c>
      <c r="E82" s="2" t="s">
        <v>32</v>
      </c>
      <c r="F82" s="2" t="s">
        <v>22</v>
      </c>
      <c r="G82" s="2" t="s">
        <v>16</v>
      </c>
      <c r="H82" s="2">
        <v>35</v>
      </c>
      <c r="I82" s="2" t="s">
        <v>24</v>
      </c>
      <c r="J82" s="2">
        <v>3</v>
      </c>
      <c r="K82" s="5">
        <v>45322</v>
      </c>
    </row>
    <row r="83" spans="1:11" x14ac:dyDescent="0.35">
      <c r="A83" s="4" t="s">
        <v>126</v>
      </c>
      <c r="B83" s="2" t="s">
        <v>35</v>
      </c>
      <c r="C83" s="2">
        <v>1294.9000000000001</v>
      </c>
      <c r="D83" s="2" t="s">
        <v>20</v>
      </c>
      <c r="E83" s="2" t="s">
        <v>32</v>
      </c>
      <c r="F83" s="2" t="s">
        <v>22</v>
      </c>
      <c r="G83" s="2" t="s">
        <v>33</v>
      </c>
      <c r="H83" s="2">
        <v>31</v>
      </c>
      <c r="I83" s="2" t="s">
        <v>17</v>
      </c>
      <c r="J83" s="2">
        <v>3</v>
      </c>
      <c r="K83" s="5">
        <v>45417</v>
      </c>
    </row>
    <row r="84" spans="1:11" x14ac:dyDescent="0.35">
      <c r="A84" s="4" t="s">
        <v>127</v>
      </c>
      <c r="B84" s="2" t="s">
        <v>38</v>
      </c>
      <c r="C84" s="2">
        <v>1260.79</v>
      </c>
      <c r="D84" s="2" t="s">
        <v>43</v>
      </c>
      <c r="E84" s="2" t="s">
        <v>14</v>
      </c>
      <c r="F84" s="2" t="s">
        <v>15</v>
      </c>
      <c r="G84" s="2" t="s">
        <v>23</v>
      </c>
      <c r="H84" s="2">
        <v>27</v>
      </c>
      <c r="I84" s="2" t="s">
        <v>24</v>
      </c>
      <c r="J84" s="2">
        <v>3</v>
      </c>
      <c r="K84" s="5">
        <v>45457</v>
      </c>
    </row>
    <row r="85" spans="1:11" x14ac:dyDescent="0.35">
      <c r="A85" s="4" t="s">
        <v>128</v>
      </c>
      <c r="B85" s="2" t="s">
        <v>26</v>
      </c>
      <c r="C85" s="2">
        <v>420.74</v>
      </c>
      <c r="D85" s="2" t="s">
        <v>13</v>
      </c>
      <c r="E85" s="2" t="s">
        <v>32</v>
      </c>
      <c r="F85" s="2" t="s">
        <v>15</v>
      </c>
      <c r="G85" s="2" t="s">
        <v>28</v>
      </c>
      <c r="H85" s="2">
        <v>40</v>
      </c>
      <c r="I85" s="2" t="s">
        <v>17</v>
      </c>
      <c r="J85" s="2">
        <v>3</v>
      </c>
      <c r="K85" s="5">
        <v>45571</v>
      </c>
    </row>
    <row r="86" spans="1:11" x14ac:dyDescent="0.35">
      <c r="A86" s="4" t="s">
        <v>129</v>
      </c>
      <c r="B86" s="2" t="s">
        <v>42</v>
      </c>
      <c r="C86" s="2">
        <v>282.5</v>
      </c>
      <c r="D86" s="2" t="s">
        <v>27</v>
      </c>
      <c r="E86" s="2" t="s">
        <v>92</v>
      </c>
      <c r="F86" s="2" t="s">
        <v>22</v>
      </c>
      <c r="G86" s="2" t="s">
        <v>33</v>
      </c>
      <c r="H86" s="2">
        <v>55</v>
      </c>
      <c r="I86" s="2" t="s">
        <v>17</v>
      </c>
      <c r="J86" s="2">
        <v>4</v>
      </c>
      <c r="K86" s="5">
        <v>45679</v>
      </c>
    </row>
    <row r="87" spans="1:11" x14ac:dyDescent="0.35">
      <c r="A87" s="4" t="s">
        <v>130</v>
      </c>
      <c r="B87" s="2" t="s">
        <v>65</v>
      </c>
      <c r="C87" s="2">
        <v>339.97</v>
      </c>
      <c r="D87" s="2" t="s">
        <v>52</v>
      </c>
      <c r="E87" s="2" t="s">
        <v>32</v>
      </c>
      <c r="F87" s="2" t="s">
        <v>50</v>
      </c>
      <c r="G87" s="2" t="s">
        <v>16</v>
      </c>
      <c r="H87" s="2">
        <v>35</v>
      </c>
      <c r="I87" s="2" t="s">
        <v>17</v>
      </c>
      <c r="J87" s="2">
        <v>5</v>
      </c>
      <c r="K87" s="5">
        <v>45426</v>
      </c>
    </row>
    <row r="88" spans="1:11" x14ac:dyDescent="0.35">
      <c r="A88" s="4" t="s">
        <v>131</v>
      </c>
      <c r="B88" s="2" t="s">
        <v>55</v>
      </c>
      <c r="C88" s="2">
        <v>1582.11</v>
      </c>
      <c r="D88" s="2" t="s">
        <v>45</v>
      </c>
      <c r="E88" s="2" t="s">
        <v>47</v>
      </c>
      <c r="F88" s="2" t="s">
        <v>15</v>
      </c>
      <c r="G88" s="2" t="s">
        <v>16</v>
      </c>
      <c r="H88" s="2">
        <v>37</v>
      </c>
      <c r="I88" s="2" t="s">
        <v>24</v>
      </c>
      <c r="J88" s="2">
        <v>4</v>
      </c>
      <c r="K88" s="5">
        <v>45175</v>
      </c>
    </row>
    <row r="89" spans="1:11" x14ac:dyDescent="0.35">
      <c r="A89" s="4" t="s">
        <v>132</v>
      </c>
      <c r="B89" s="2" t="s">
        <v>72</v>
      </c>
      <c r="C89" s="2">
        <v>85.3</v>
      </c>
      <c r="D89" s="2" t="s">
        <v>13</v>
      </c>
      <c r="E89" s="2" t="s">
        <v>47</v>
      </c>
      <c r="F89" s="2" t="s">
        <v>15</v>
      </c>
      <c r="G89" s="2" t="s">
        <v>33</v>
      </c>
      <c r="H89" s="2">
        <v>40</v>
      </c>
      <c r="I89" s="2" t="s">
        <v>17</v>
      </c>
      <c r="J89" s="2">
        <v>1</v>
      </c>
      <c r="K89" s="5">
        <v>45682</v>
      </c>
    </row>
    <row r="90" spans="1:11" x14ac:dyDescent="0.35">
      <c r="A90" s="4" t="s">
        <v>133</v>
      </c>
      <c r="B90" s="2" t="s">
        <v>38</v>
      </c>
      <c r="C90" s="2">
        <v>1105.94</v>
      </c>
      <c r="D90" s="2" t="s">
        <v>49</v>
      </c>
      <c r="E90" s="2" t="s">
        <v>32</v>
      </c>
      <c r="F90" s="2" t="s">
        <v>50</v>
      </c>
      <c r="G90" s="2" t="s">
        <v>23</v>
      </c>
      <c r="H90" s="2">
        <v>44</v>
      </c>
      <c r="I90" s="2" t="s">
        <v>17</v>
      </c>
      <c r="J90" s="2">
        <v>2</v>
      </c>
      <c r="K90" s="5">
        <v>45645</v>
      </c>
    </row>
    <row r="91" spans="1:11" x14ac:dyDescent="0.35">
      <c r="A91" s="4" t="s">
        <v>134</v>
      </c>
      <c r="B91" s="2" t="s">
        <v>12</v>
      </c>
      <c r="C91" s="2">
        <v>1916.88</v>
      </c>
      <c r="D91" s="2" t="s">
        <v>27</v>
      </c>
      <c r="E91" s="2" t="s">
        <v>32</v>
      </c>
      <c r="F91" s="2" t="s">
        <v>22</v>
      </c>
      <c r="G91" s="2" t="s">
        <v>16</v>
      </c>
      <c r="H91" s="2">
        <v>41</v>
      </c>
      <c r="I91" s="2" t="s">
        <v>24</v>
      </c>
      <c r="J91" s="2">
        <v>2</v>
      </c>
      <c r="K91" s="5">
        <v>45493</v>
      </c>
    </row>
    <row r="92" spans="1:11" x14ac:dyDescent="0.35">
      <c r="A92" s="4" t="s">
        <v>135</v>
      </c>
      <c r="B92" s="2" t="s">
        <v>42</v>
      </c>
      <c r="C92" s="2">
        <v>111.25</v>
      </c>
      <c r="D92" s="2" t="s">
        <v>20</v>
      </c>
      <c r="E92" s="2" t="s">
        <v>92</v>
      </c>
      <c r="F92" s="2" t="s">
        <v>22</v>
      </c>
      <c r="G92" s="2" t="s">
        <v>23</v>
      </c>
      <c r="H92" s="2">
        <v>44</v>
      </c>
      <c r="I92" s="2" t="s">
        <v>24</v>
      </c>
      <c r="J92" s="2">
        <v>3</v>
      </c>
      <c r="K92" s="5">
        <v>45608</v>
      </c>
    </row>
    <row r="93" spans="1:11" x14ac:dyDescent="0.35">
      <c r="A93" s="4" t="s">
        <v>136</v>
      </c>
      <c r="B93" s="2" t="s">
        <v>19</v>
      </c>
      <c r="C93" s="2">
        <v>1928.68</v>
      </c>
      <c r="D93" s="2" t="s">
        <v>52</v>
      </c>
      <c r="E93" s="2" t="s">
        <v>92</v>
      </c>
      <c r="F93" s="2" t="s">
        <v>50</v>
      </c>
      <c r="G93" s="2" t="s">
        <v>16</v>
      </c>
      <c r="H93" s="2">
        <v>20</v>
      </c>
      <c r="I93" s="2" t="s">
        <v>24</v>
      </c>
      <c r="J93" s="2">
        <v>4</v>
      </c>
      <c r="K93" s="5">
        <v>45511</v>
      </c>
    </row>
    <row r="94" spans="1:11" x14ac:dyDescent="0.35">
      <c r="A94" s="4" t="s">
        <v>137</v>
      </c>
      <c r="B94" s="2" t="s">
        <v>26</v>
      </c>
      <c r="C94" s="2">
        <v>1833.72</v>
      </c>
      <c r="D94" s="2" t="s">
        <v>52</v>
      </c>
      <c r="E94" s="2" t="s">
        <v>92</v>
      </c>
      <c r="F94" s="2" t="s">
        <v>50</v>
      </c>
      <c r="G94" s="2" t="s">
        <v>23</v>
      </c>
      <c r="H94" s="2">
        <v>54</v>
      </c>
      <c r="I94" s="2" t="s">
        <v>17</v>
      </c>
      <c r="J94" s="2">
        <v>2</v>
      </c>
      <c r="K94" s="5">
        <v>45340</v>
      </c>
    </row>
    <row r="95" spans="1:11" x14ac:dyDescent="0.35">
      <c r="A95" s="4" t="s">
        <v>138</v>
      </c>
      <c r="B95" s="2" t="s">
        <v>38</v>
      </c>
      <c r="C95" s="2">
        <v>512.16</v>
      </c>
      <c r="D95" s="2" t="s">
        <v>13</v>
      </c>
      <c r="E95" s="2" t="s">
        <v>47</v>
      </c>
      <c r="F95" s="2" t="s">
        <v>15</v>
      </c>
      <c r="G95" s="2" t="s">
        <v>23</v>
      </c>
      <c r="H95" s="2">
        <v>47</v>
      </c>
      <c r="I95" s="2" t="s">
        <v>24</v>
      </c>
      <c r="J95" s="2">
        <v>4</v>
      </c>
      <c r="K95" s="5">
        <v>45165</v>
      </c>
    </row>
    <row r="96" spans="1:11" x14ac:dyDescent="0.35">
      <c r="A96" s="4" t="s">
        <v>139</v>
      </c>
      <c r="B96" s="2" t="s">
        <v>72</v>
      </c>
      <c r="C96" s="2">
        <v>740.36</v>
      </c>
      <c r="D96" s="2" t="s">
        <v>45</v>
      </c>
      <c r="E96" s="2" t="s">
        <v>32</v>
      </c>
      <c r="F96" s="2" t="s">
        <v>15</v>
      </c>
      <c r="G96" s="2" t="s">
        <v>33</v>
      </c>
      <c r="H96" s="2">
        <v>49</v>
      </c>
      <c r="I96" s="2" t="s">
        <v>17</v>
      </c>
      <c r="J96" s="2">
        <v>1</v>
      </c>
      <c r="K96" s="5">
        <v>45691</v>
      </c>
    </row>
    <row r="97" spans="1:11" x14ac:dyDescent="0.35">
      <c r="A97" s="4" t="s">
        <v>140</v>
      </c>
      <c r="B97" s="2" t="s">
        <v>30</v>
      </c>
      <c r="C97" s="2">
        <v>207.72</v>
      </c>
      <c r="D97" s="2" t="s">
        <v>13</v>
      </c>
      <c r="E97" s="2" t="s">
        <v>92</v>
      </c>
      <c r="F97" s="2" t="s">
        <v>15</v>
      </c>
      <c r="G97" s="2" t="s">
        <v>28</v>
      </c>
      <c r="H97" s="2">
        <v>25</v>
      </c>
      <c r="I97" s="2" t="s">
        <v>17</v>
      </c>
      <c r="J97" s="2">
        <v>2</v>
      </c>
      <c r="K97" s="5">
        <v>45521</v>
      </c>
    </row>
    <row r="98" spans="1:11" x14ac:dyDescent="0.35">
      <c r="A98" s="4" t="s">
        <v>141</v>
      </c>
      <c r="B98" s="2" t="s">
        <v>65</v>
      </c>
      <c r="C98" s="2">
        <v>27.55</v>
      </c>
      <c r="D98" s="2" t="s">
        <v>13</v>
      </c>
      <c r="E98" s="2" t="s">
        <v>92</v>
      </c>
      <c r="F98" s="2" t="s">
        <v>15</v>
      </c>
      <c r="G98" s="2" t="s">
        <v>23</v>
      </c>
      <c r="H98" s="2">
        <v>36</v>
      </c>
      <c r="I98" s="2" t="s">
        <v>17</v>
      </c>
      <c r="J98" s="2">
        <v>4</v>
      </c>
      <c r="K98" s="5">
        <v>45221</v>
      </c>
    </row>
    <row r="99" spans="1:11" x14ac:dyDescent="0.35">
      <c r="A99" s="4" t="s">
        <v>142</v>
      </c>
      <c r="B99" s="2" t="s">
        <v>19</v>
      </c>
      <c r="C99" s="2">
        <v>1544.34</v>
      </c>
      <c r="D99" s="2" t="s">
        <v>27</v>
      </c>
      <c r="E99" s="2" t="s">
        <v>47</v>
      </c>
      <c r="F99" s="2" t="s">
        <v>22</v>
      </c>
      <c r="G99" s="2" t="s">
        <v>28</v>
      </c>
      <c r="H99" s="2">
        <v>44</v>
      </c>
      <c r="I99" s="2" t="s">
        <v>17</v>
      </c>
      <c r="J99" s="2">
        <v>5</v>
      </c>
      <c r="K99" s="5">
        <v>45266</v>
      </c>
    </row>
    <row r="100" spans="1:11" x14ac:dyDescent="0.35">
      <c r="A100" s="4" t="s">
        <v>143</v>
      </c>
      <c r="B100" s="2" t="s">
        <v>72</v>
      </c>
      <c r="C100" s="2">
        <v>1741.43</v>
      </c>
      <c r="D100" s="2" t="s">
        <v>39</v>
      </c>
      <c r="E100" s="2" t="s">
        <v>47</v>
      </c>
      <c r="F100" s="2" t="s">
        <v>22</v>
      </c>
      <c r="G100" s="2" t="s">
        <v>23</v>
      </c>
      <c r="H100" s="2">
        <v>21</v>
      </c>
      <c r="I100" s="2" t="s">
        <v>17</v>
      </c>
      <c r="J100" s="2">
        <v>3</v>
      </c>
      <c r="K100" s="5">
        <v>45559</v>
      </c>
    </row>
    <row r="101" spans="1:11" x14ac:dyDescent="0.35">
      <c r="A101" s="4" t="s">
        <v>144</v>
      </c>
      <c r="B101" s="2" t="s">
        <v>35</v>
      </c>
      <c r="C101" s="2">
        <v>1075.3800000000001</v>
      </c>
      <c r="D101" s="2" t="s">
        <v>43</v>
      </c>
      <c r="E101" s="2" t="s">
        <v>47</v>
      </c>
      <c r="F101" s="2" t="s">
        <v>15</v>
      </c>
      <c r="G101" s="2" t="s">
        <v>28</v>
      </c>
      <c r="H101" s="2">
        <v>22</v>
      </c>
      <c r="I101" s="2" t="s">
        <v>17</v>
      </c>
      <c r="J101" s="2">
        <v>5</v>
      </c>
      <c r="K101" s="5">
        <v>45650</v>
      </c>
    </row>
    <row r="102" spans="1:11" x14ac:dyDescent="0.35">
      <c r="A102" s="4" t="s">
        <v>145</v>
      </c>
      <c r="B102" s="2" t="s">
        <v>42</v>
      </c>
      <c r="C102" s="2">
        <v>1910.94</v>
      </c>
      <c r="D102" s="2" t="s">
        <v>45</v>
      </c>
      <c r="E102" s="2" t="s">
        <v>47</v>
      </c>
      <c r="F102" s="2" t="s">
        <v>15</v>
      </c>
      <c r="G102" s="2" t="s">
        <v>23</v>
      </c>
      <c r="H102" s="2">
        <v>29</v>
      </c>
      <c r="I102" s="2" t="s">
        <v>24</v>
      </c>
      <c r="J102" s="2">
        <v>3</v>
      </c>
      <c r="K102" s="5">
        <v>45552</v>
      </c>
    </row>
    <row r="103" spans="1:11" x14ac:dyDescent="0.35">
      <c r="A103" s="4" t="s">
        <v>146</v>
      </c>
      <c r="B103" s="2" t="s">
        <v>65</v>
      </c>
      <c r="C103" s="2">
        <v>987.49</v>
      </c>
      <c r="D103" s="2" t="s">
        <v>52</v>
      </c>
      <c r="E103" s="2" t="s">
        <v>47</v>
      </c>
      <c r="F103" s="2" t="s">
        <v>50</v>
      </c>
      <c r="G103" s="2" t="s">
        <v>16</v>
      </c>
      <c r="H103" s="2">
        <v>49</v>
      </c>
      <c r="I103" s="2" t="s">
        <v>24</v>
      </c>
      <c r="J103" s="2">
        <v>1</v>
      </c>
      <c r="K103" s="5">
        <v>45574</v>
      </c>
    </row>
    <row r="104" spans="1:11" x14ac:dyDescent="0.35">
      <c r="A104" s="4" t="s">
        <v>147</v>
      </c>
      <c r="B104" s="2" t="s">
        <v>12</v>
      </c>
      <c r="C104" s="2">
        <v>1760.33</v>
      </c>
      <c r="D104" s="2" t="s">
        <v>31</v>
      </c>
      <c r="E104" s="2" t="s">
        <v>92</v>
      </c>
      <c r="F104" s="2" t="s">
        <v>15</v>
      </c>
      <c r="G104" s="2" t="s">
        <v>23</v>
      </c>
      <c r="H104" s="2">
        <v>39</v>
      </c>
      <c r="I104" s="2" t="s">
        <v>17</v>
      </c>
      <c r="J104" s="2">
        <v>2</v>
      </c>
      <c r="K104" s="5">
        <v>45784</v>
      </c>
    </row>
    <row r="105" spans="1:11" x14ac:dyDescent="0.35">
      <c r="A105" s="4" t="s">
        <v>148</v>
      </c>
      <c r="B105" s="2" t="s">
        <v>26</v>
      </c>
      <c r="C105" s="2">
        <v>608.44000000000005</v>
      </c>
      <c r="D105" s="2" t="s">
        <v>52</v>
      </c>
      <c r="E105" s="2" t="s">
        <v>21</v>
      </c>
      <c r="F105" s="2" t="s">
        <v>50</v>
      </c>
      <c r="G105" s="2" t="s">
        <v>28</v>
      </c>
      <c r="H105" s="2">
        <v>45</v>
      </c>
      <c r="I105" s="2" t="s">
        <v>24</v>
      </c>
      <c r="J105" s="2">
        <v>4</v>
      </c>
      <c r="K105" s="5">
        <v>45301</v>
      </c>
    </row>
    <row r="106" spans="1:11" x14ac:dyDescent="0.35">
      <c r="A106" s="4" t="s">
        <v>149</v>
      </c>
      <c r="B106" s="2" t="s">
        <v>19</v>
      </c>
      <c r="C106" s="2">
        <v>801.61</v>
      </c>
      <c r="D106" s="2" t="s">
        <v>39</v>
      </c>
      <c r="E106" s="2" t="s">
        <v>32</v>
      </c>
      <c r="F106" s="2" t="s">
        <v>22</v>
      </c>
      <c r="G106" s="2" t="s">
        <v>16</v>
      </c>
      <c r="H106" s="2">
        <v>39</v>
      </c>
      <c r="I106" s="2" t="s">
        <v>17</v>
      </c>
      <c r="J106" s="2">
        <v>4</v>
      </c>
      <c r="K106" s="5">
        <v>45304</v>
      </c>
    </row>
    <row r="107" spans="1:11" x14ac:dyDescent="0.35">
      <c r="A107" s="4" t="s">
        <v>150</v>
      </c>
      <c r="B107" s="2" t="s">
        <v>72</v>
      </c>
      <c r="C107" s="2">
        <v>104.52</v>
      </c>
      <c r="D107" s="2" t="s">
        <v>52</v>
      </c>
      <c r="E107" s="2" t="s">
        <v>32</v>
      </c>
      <c r="F107" s="2" t="s">
        <v>50</v>
      </c>
      <c r="G107" s="2" t="s">
        <v>23</v>
      </c>
      <c r="H107" s="2">
        <v>54</v>
      </c>
      <c r="I107" s="2" t="s">
        <v>17</v>
      </c>
      <c r="J107" s="2">
        <v>5</v>
      </c>
      <c r="K107" s="5">
        <v>45781</v>
      </c>
    </row>
    <row r="108" spans="1:11" x14ac:dyDescent="0.35">
      <c r="A108" s="4" t="s">
        <v>151</v>
      </c>
      <c r="B108" s="2" t="s">
        <v>19</v>
      </c>
      <c r="C108" s="2">
        <v>1292.6400000000001</v>
      </c>
      <c r="D108" s="2" t="s">
        <v>31</v>
      </c>
      <c r="E108" s="2" t="s">
        <v>21</v>
      </c>
      <c r="F108" s="2" t="s">
        <v>15</v>
      </c>
      <c r="G108" s="2" t="s">
        <v>28</v>
      </c>
      <c r="H108" s="2">
        <v>20</v>
      </c>
      <c r="I108" s="2" t="s">
        <v>17</v>
      </c>
      <c r="J108" s="2">
        <v>2</v>
      </c>
      <c r="K108" s="5">
        <v>45122</v>
      </c>
    </row>
    <row r="109" spans="1:11" x14ac:dyDescent="0.35">
      <c r="A109" s="4" t="s">
        <v>152</v>
      </c>
      <c r="B109" s="2" t="s">
        <v>38</v>
      </c>
      <c r="C109" s="2">
        <v>1394.83</v>
      </c>
      <c r="D109" s="2" t="s">
        <v>31</v>
      </c>
      <c r="E109" s="2" t="s">
        <v>21</v>
      </c>
      <c r="F109" s="2" t="s">
        <v>15</v>
      </c>
      <c r="G109" s="2" t="s">
        <v>16</v>
      </c>
      <c r="H109" s="2">
        <v>60</v>
      </c>
      <c r="I109" s="2" t="s">
        <v>17</v>
      </c>
      <c r="J109" s="2">
        <v>1</v>
      </c>
      <c r="K109" s="5">
        <v>45738</v>
      </c>
    </row>
    <row r="110" spans="1:11" x14ac:dyDescent="0.35">
      <c r="A110" s="4" t="s">
        <v>153</v>
      </c>
      <c r="B110" s="2" t="s">
        <v>72</v>
      </c>
      <c r="C110" s="2">
        <v>1919.32</v>
      </c>
      <c r="D110" s="2" t="s">
        <v>13</v>
      </c>
      <c r="E110" s="2" t="s">
        <v>47</v>
      </c>
      <c r="F110" s="2" t="s">
        <v>15</v>
      </c>
      <c r="G110" s="2" t="s">
        <v>28</v>
      </c>
      <c r="H110" s="2">
        <v>53</v>
      </c>
      <c r="I110" s="2" t="s">
        <v>24</v>
      </c>
      <c r="J110" s="2">
        <v>5</v>
      </c>
      <c r="K110" s="5">
        <v>45606</v>
      </c>
    </row>
    <row r="111" spans="1:11" x14ac:dyDescent="0.35">
      <c r="A111" s="4" t="s">
        <v>154</v>
      </c>
      <c r="B111" s="2" t="s">
        <v>38</v>
      </c>
      <c r="C111" s="2">
        <v>1475.51</v>
      </c>
      <c r="D111" s="2" t="s">
        <v>43</v>
      </c>
      <c r="E111" s="2" t="s">
        <v>47</v>
      </c>
      <c r="F111" s="2" t="s">
        <v>15</v>
      </c>
      <c r="G111" s="2" t="s">
        <v>16</v>
      </c>
      <c r="H111" s="2">
        <v>49</v>
      </c>
      <c r="I111" s="2" t="s">
        <v>24</v>
      </c>
      <c r="J111" s="2">
        <v>4</v>
      </c>
      <c r="K111" s="5">
        <v>45804</v>
      </c>
    </row>
    <row r="112" spans="1:11" x14ac:dyDescent="0.35">
      <c r="A112" s="4" t="s">
        <v>155</v>
      </c>
      <c r="B112" s="2" t="s">
        <v>12</v>
      </c>
      <c r="C112" s="2">
        <v>251.65</v>
      </c>
      <c r="D112" s="2" t="s">
        <v>36</v>
      </c>
      <c r="E112" s="2" t="s">
        <v>32</v>
      </c>
      <c r="F112" s="2" t="s">
        <v>15</v>
      </c>
      <c r="G112" s="2" t="s">
        <v>28</v>
      </c>
      <c r="H112" s="2">
        <v>37</v>
      </c>
      <c r="I112" s="2" t="s">
        <v>17</v>
      </c>
      <c r="J112" s="2">
        <v>5</v>
      </c>
      <c r="K112" s="5">
        <v>45127</v>
      </c>
    </row>
    <row r="113" spans="1:11" x14ac:dyDescent="0.35">
      <c r="A113" s="4" t="s">
        <v>156</v>
      </c>
      <c r="B113" s="2" t="s">
        <v>65</v>
      </c>
      <c r="C113" s="2">
        <v>1076.02</v>
      </c>
      <c r="D113" s="2" t="s">
        <v>49</v>
      </c>
      <c r="E113" s="2" t="s">
        <v>47</v>
      </c>
      <c r="F113" s="2" t="s">
        <v>50</v>
      </c>
      <c r="G113" s="2" t="s">
        <v>33</v>
      </c>
      <c r="H113" s="2">
        <v>44</v>
      </c>
      <c r="I113" s="2" t="s">
        <v>17</v>
      </c>
      <c r="J113" s="2">
        <v>2</v>
      </c>
      <c r="K113" s="5">
        <v>45289</v>
      </c>
    </row>
    <row r="114" spans="1:11" x14ac:dyDescent="0.35">
      <c r="A114" s="4" t="s">
        <v>157</v>
      </c>
      <c r="B114" s="2" t="s">
        <v>19</v>
      </c>
      <c r="C114" s="2">
        <v>1561.22</v>
      </c>
      <c r="D114" s="2" t="s">
        <v>13</v>
      </c>
      <c r="E114" s="2" t="s">
        <v>32</v>
      </c>
      <c r="F114" s="2" t="s">
        <v>15</v>
      </c>
      <c r="G114" s="2" t="s">
        <v>33</v>
      </c>
      <c r="H114" s="2">
        <v>33</v>
      </c>
      <c r="I114" s="2" t="s">
        <v>17</v>
      </c>
      <c r="J114" s="2">
        <v>2</v>
      </c>
      <c r="K114" s="5">
        <v>45246</v>
      </c>
    </row>
    <row r="115" spans="1:11" x14ac:dyDescent="0.35">
      <c r="A115" s="4" t="s">
        <v>158</v>
      </c>
      <c r="B115" s="2" t="s">
        <v>72</v>
      </c>
      <c r="C115" s="2">
        <v>579.85</v>
      </c>
      <c r="D115" s="2" t="s">
        <v>36</v>
      </c>
      <c r="E115" s="2" t="s">
        <v>47</v>
      </c>
      <c r="F115" s="2" t="s">
        <v>15</v>
      </c>
      <c r="G115" s="2" t="s">
        <v>28</v>
      </c>
      <c r="H115" s="2">
        <v>37</v>
      </c>
      <c r="I115" s="2" t="s">
        <v>24</v>
      </c>
      <c r="J115" s="2">
        <v>2</v>
      </c>
      <c r="K115" s="5">
        <v>45576</v>
      </c>
    </row>
    <row r="116" spans="1:11" x14ac:dyDescent="0.35">
      <c r="A116" s="4" t="s">
        <v>82</v>
      </c>
      <c r="B116" s="2" t="s">
        <v>72</v>
      </c>
      <c r="C116" s="2">
        <v>727.18</v>
      </c>
      <c r="D116" s="2" t="s">
        <v>27</v>
      </c>
      <c r="E116" s="2" t="s">
        <v>47</v>
      </c>
      <c r="F116" s="2" t="s">
        <v>22</v>
      </c>
      <c r="G116" s="2" t="s">
        <v>23</v>
      </c>
      <c r="H116" s="2">
        <v>51</v>
      </c>
      <c r="I116" s="2" t="s">
        <v>17</v>
      </c>
      <c r="J116" s="2">
        <v>3</v>
      </c>
      <c r="K116" s="5">
        <v>45812</v>
      </c>
    </row>
    <row r="117" spans="1:11" x14ac:dyDescent="0.35">
      <c r="A117" s="4" t="s">
        <v>159</v>
      </c>
      <c r="B117" s="2" t="s">
        <v>19</v>
      </c>
      <c r="C117" s="2">
        <v>1354.08</v>
      </c>
      <c r="D117" s="2" t="s">
        <v>13</v>
      </c>
      <c r="E117" s="2" t="s">
        <v>32</v>
      </c>
      <c r="F117" s="2" t="s">
        <v>15</v>
      </c>
      <c r="G117" s="2" t="s">
        <v>33</v>
      </c>
      <c r="H117" s="2">
        <v>21</v>
      </c>
      <c r="I117" s="2" t="s">
        <v>17</v>
      </c>
      <c r="J117" s="2">
        <v>3</v>
      </c>
      <c r="K117" s="5">
        <v>45715</v>
      </c>
    </row>
    <row r="118" spans="1:11" x14ac:dyDescent="0.35">
      <c r="A118" s="4" t="s">
        <v>160</v>
      </c>
      <c r="B118" s="2" t="s">
        <v>55</v>
      </c>
      <c r="C118" s="2">
        <v>592.13</v>
      </c>
      <c r="D118" s="2" t="s">
        <v>39</v>
      </c>
      <c r="E118" s="2" t="s">
        <v>21</v>
      </c>
      <c r="F118" s="2" t="s">
        <v>22</v>
      </c>
      <c r="G118" s="2" t="s">
        <v>33</v>
      </c>
      <c r="H118" s="2">
        <v>57</v>
      </c>
      <c r="I118" s="2" t="s">
        <v>17</v>
      </c>
      <c r="J118" s="2">
        <v>1</v>
      </c>
      <c r="K118" s="5">
        <v>45704</v>
      </c>
    </row>
    <row r="119" spans="1:11" x14ac:dyDescent="0.35">
      <c r="A119" s="4" t="s">
        <v>161</v>
      </c>
      <c r="B119" s="2" t="s">
        <v>35</v>
      </c>
      <c r="C119" s="2">
        <v>746.67</v>
      </c>
      <c r="D119" s="2" t="s">
        <v>49</v>
      </c>
      <c r="E119" s="2" t="s">
        <v>32</v>
      </c>
      <c r="F119" s="2" t="s">
        <v>50</v>
      </c>
      <c r="G119" s="2" t="s">
        <v>28</v>
      </c>
      <c r="H119" s="2">
        <v>42</v>
      </c>
      <c r="I119" s="2" t="s">
        <v>17</v>
      </c>
      <c r="J119" s="2">
        <v>2</v>
      </c>
      <c r="K119" s="5">
        <v>45384</v>
      </c>
    </row>
    <row r="120" spans="1:11" x14ac:dyDescent="0.35">
      <c r="A120" s="4" t="s">
        <v>162</v>
      </c>
      <c r="B120" s="2" t="s">
        <v>12</v>
      </c>
      <c r="C120" s="2">
        <v>79.13</v>
      </c>
      <c r="D120" s="2" t="s">
        <v>43</v>
      </c>
      <c r="E120" s="2" t="s">
        <v>21</v>
      </c>
      <c r="F120" s="2" t="s">
        <v>15</v>
      </c>
      <c r="G120" s="2" t="s">
        <v>16</v>
      </c>
      <c r="H120" s="2">
        <v>27</v>
      </c>
      <c r="I120" s="2" t="s">
        <v>24</v>
      </c>
      <c r="J120" s="2">
        <v>4</v>
      </c>
      <c r="K120" s="5">
        <v>45341</v>
      </c>
    </row>
    <row r="121" spans="1:11" x14ac:dyDescent="0.35">
      <c r="A121" s="4" t="s">
        <v>163</v>
      </c>
      <c r="B121" s="2" t="s">
        <v>26</v>
      </c>
      <c r="C121" s="2">
        <v>948.1</v>
      </c>
      <c r="D121" s="2" t="s">
        <v>39</v>
      </c>
      <c r="E121" s="2" t="s">
        <v>32</v>
      </c>
      <c r="F121" s="2" t="s">
        <v>22</v>
      </c>
      <c r="G121" s="2" t="s">
        <v>23</v>
      </c>
      <c r="H121" s="2">
        <v>32</v>
      </c>
      <c r="I121" s="2" t="s">
        <v>24</v>
      </c>
      <c r="J121" s="2">
        <v>5</v>
      </c>
      <c r="K121" s="5">
        <v>45626</v>
      </c>
    </row>
    <row r="122" spans="1:11" x14ac:dyDescent="0.35">
      <c r="A122" s="4" t="s">
        <v>164</v>
      </c>
      <c r="B122" s="2" t="s">
        <v>12</v>
      </c>
      <c r="C122" s="2">
        <v>1434.82</v>
      </c>
      <c r="D122" s="2" t="s">
        <v>36</v>
      </c>
      <c r="E122" s="2" t="s">
        <v>47</v>
      </c>
      <c r="F122" s="2" t="s">
        <v>15</v>
      </c>
      <c r="G122" s="2" t="s">
        <v>16</v>
      </c>
      <c r="H122" s="2">
        <v>58</v>
      </c>
      <c r="I122" s="2" t="s">
        <v>24</v>
      </c>
      <c r="J122" s="2">
        <v>2</v>
      </c>
      <c r="K122" s="5">
        <v>45459</v>
      </c>
    </row>
    <row r="123" spans="1:11" x14ac:dyDescent="0.35">
      <c r="A123" s="4" t="s">
        <v>165</v>
      </c>
      <c r="B123" s="2" t="s">
        <v>38</v>
      </c>
      <c r="C123" s="2">
        <v>186.48</v>
      </c>
      <c r="D123" s="2" t="s">
        <v>49</v>
      </c>
      <c r="E123" s="2" t="s">
        <v>32</v>
      </c>
      <c r="F123" s="2" t="s">
        <v>50</v>
      </c>
      <c r="G123" s="2" t="s">
        <v>28</v>
      </c>
      <c r="H123" s="2">
        <v>43</v>
      </c>
      <c r="I123" s="2" t="s">
        <v>24</v>
      </c>
      <c r="J123" s="2">
        <v>1</v>
      </c>
      <c r="K123" s="5">
        <v>45205</v>
      </c>
    </row>
    <row r="124" spans="1:11" x14ac:dyDescent="0.35">
      <c r="A124" s="4" t="s">
        <v>166</v>
      </c>
      <c r="B124" s="2" t="s">
        <v>42</v>
      </c>
      <c r="C124" s="2">
        <v>405.35</v>
      </c>
      <c r="D124" s="2" t="s">
        <v>20</v>
      </c>
      <c r="E124" s="2" t="s">
        <v>32</v>
      </c>
      <c r="F124" s="2" t="s">
        <v>22</v>
      </c>
      <c r="G124" s="2" t="s">
        <v>28</v>
      </c>
      <c r="H124" s="2">
        <v>22</v>
      </c>
      <c r="I124" s="2" t="s">
        <v>17</v>
      </c>
      <c r="J124" s="2">
        <v>2</v>
      </c>
      <c r="K124" s="5">
        <v>45238</v>
      </c>
    </row>
    <row r="125" spans="1:11" x14ac:dyDescent="0.35">
      <c r="A125" s="4" t="s">
        <v>167</v>
      </c>
      <c r="B125" s="2" t="s">
        <v>30</v>
      </c>
      <c r="C125" s="2">
        <v>1404.09</v>
      </c>
      <c r="D125" s="2" t="s">
        <v>13</v>
      </c>
      <c r="E125" s="2" t="s">
        <v>14</v>
      </c>
      <c r="F125" s="2" t="s">
        <v>15</v>
      </c>
      <c r="G125" s="2" t="s">
        <v>23</v>
      </c>
      <c r="H125" s="2">
        <v>20</v>
      </c>
      <c r="I125" s="2" t="s">
        <v>24</v>
      </c>
      <c r="J125" s="2">
        <v>1</v>
      </c>
      <c r="K125" s="5">
        <v>45796</v>
      </c>
    </row>
    <row r="126" spans="1:11" x14ac:dyDescent="0.35">
      <c r="A126" s="4" t="s">
        <v>168</v>
      </c>
      <c r="B126" s="2" t="s">
        <v>30</v>
      </c>
      <c r="C126" s="2">
        <v>722.64</v>
      </c>
      <c r="D126" s="2" t="s">
        <v>45</v>
      </c>
      <c r="E126" s="2" t="s">
        <v>32</v>
      </c>
      <c r="F126" s="2" t="s">
        <v>15</v>
      </c>
      <c r="G126" s="2" t="s">
        <v>16</v>
      </c>
      <c r="H126" s="2">
        <v>31</v>
      </c>
      <c r="I126" s="2" t="s">
        <v>24</v>
      </c>
      <c r="J126" s="2">
        <v>2</v>
      </c>
      <c r="K126" s="5">
        <v>45236</v>
      </c>
    </row>
    <row r="127" spans="1:11" x14ac:dyDescent="0.35">
      <c r="A127" s="4" t="s">
        <v>169</v>
      </c>
      <c r="B127" s="2" t="s">
        <v>72</v>
      </c>
      <c r="C127" s="2">
        <v>1863.09</v>
      </c>
      <c r="D127" s="2" t="s">
        <v>27</v>
      </c>
      <c r="E127" s="2" t="s">
        <v>47</v>
      </c>
      <c r="F127" s="2" t="s">
        <v>22</v>
      </c>
      <c r="G127" s="2" t="s">
        <v>28</v>
      </c>
      <c r="H127" s="2">
        <v>45</v>
      </c>
      <c r="I127" s="2" t="s">
        <v>17</v>
      </c>
      <c r="J127" s="2">
        <v>2</v>
      </c>
      <c r="K127" s="5">
        <v>45716</v>
      </c>
    </row>
    <row r="128" spans="1:11" x14ac:dyDescent="0.35">
      <c r="A128" s="4" t="s">
        <v>170</v>
      </c>
      <c r="B128" s="2" t="s">
        <v>38</v>
      </c>
      <c r="C128" s="2">
        <v>93.66</v>
      </c>
      <c r="D128" s="2" t="s">
        <v>31</v>
      </c>
      <c r="E128" s="2" t="s">
        <v>47</v>
      </c>
      <c r="F128" s="2" t="s">
        <v>15</v>
      </c>
      <c r="G128" s="2" t="s">
        <v>16</v>
      </c>
      <c r="H128" s="2">
        <v>39</v>
      </c>
      <c r="I128" s="2" t="s">
        <v>24</v>
      </c>
      <c r="J128" s="2">
        <v>4</v>
      </c>
      <c r="K128" s="5">
        <v>45215</v>
      </c>
    </row>
    <row r="129" spans="1:11" x14ac:dyDescent="0.35">
      <c r="A129" s="4" t="s">
        <v>171</v>
      </c>
      <c r="B129" s="2" t="s">
        <v>42</v>
      </c>
      <c r="C129" s="2">
        <v>1916.28</v>
      </c>
      <c r="D129" s="2" t="s">
        <v>27</v>
      </c>
      <c r="E129" s="2" t="s">
        <v>47</v>
      </c>
      <c r="F129" s="2" t="s">
        <v>22</v>
      </c>
      <c r="G129" s="2" t="s">
        <v>23</v>
      </c>
      <c r="H129" s="2">
        <v>58</v>
      </c>
      <c r="I129" s="2" t="s">
        <v>24</v>
      </c>
      <c r="J129" s="2">
        <v>5</v>
      </c>
      <c r="K129" s="5">
        <v>45359</v>
      </c>
    </row>
    <row r="130" spans="1:11" x14ac:dyDescent="0.35">
      <c r="A130" s="4" t="s">
        <v>172</v>
      </c>
      <c r="B130" s="2" t="s">
        <v>42</v>
      </c>
      <c r="C130" s="2">
        <v>1715.21</v>
      </c>
      <c r="D130" s="2" t="s">
        <v>49</v>
      </c>
      <c r="E130" s="2" t="s">
        <v>32</v>
      </c>
      <c r="F130" s="2" t="s">
        <v>50</v>
      </c>
      <c r="G130" s="2" t="s">
        <v>16</v>
      </c>
      <c r="H130" s="2">
        <v>48</v>
      </c>
      <c r="I130" s="2" t="s">
        <v>17</v>
      </c>
      <c r="J130" s="2">
        <v>4</v>
      </c>
      <c r="K130" s="5">
        <v>45818</v>
      </c>
    </row>
    <row r="131" spans="1:11" x14ac:dyDescent="0.35">
      <c r="A131" s="4" t="s">
        <v>173</v>
      </c>
      <c r="B131" s="2" t="s">
        <v>30</v>
      </c>
      <c r="C131" s="2">
        <v>572.07000000000005</v>
      </c>
      <c r="D131" s="2" t="s">
        <v>39</v>
      </c>
      <c r="E131" s="2" t="s">
        <v>21</v>
      </c>
      <c r="F131" s="2" t="s">
        <v>22</v>
      </c>
      <c r="G131" s="2" t="s">
        <v>23</v>
      </c>
      <c r="H131" s="2">
        <v>23</v>
      </c>
      <c r="I131" s="2" t="s">
        <v>24</v>
      </c>
      <c r="J131" s="2">
        <v>4</v>
      </c>
      <c r="K131" s="5">
        <v>45252</v>
      </c>
    </row>
    <row r="132" spans="1:11" x14ac:dyDescent="0.35">
      <c r="A132" s="4" t="s">
        <v>174</v>
      </c>
      <c r="B132" s="2" t="s">
        <v>42</v>
      </c>
      <c r="C132" s="2">
        <v>638.5</v>
      </c>
      <c r="D132" s="2" t="s">
        <v>27</v>
      </c>
      <c r="E132" s="2" t="s">
        <v>47</v>
      </c>
      <c r="F132" s="2" t="s">
        <v>22</v>
      </c>
      <c r="G132" s="2" t="s">
        <v>33</v>
      </c>
      <c r="H132" s="2">
        <v>25</v>
      </c>
      <c r="I132" s="2" t="s">
        <v>24</v>
      </c>
      <c r="J132" s="2">
        <v>2</v>
      </c>
      <c r="K132" s="5">
        <v>45112</v>
      </c>
    </row>
    <row r="133" spans="1:11" x14ac:dyDescent="0.35">
      <c r="A133" s="4" t="s">
        <v>175</v>
      </c>
      <c r="B133" s="2" t="s">
        <v>55</v>
      </c>
      <c r="C133" s="2">
        <v>1356.12</v>
      </c>
      <c r="D133" s="2" t="s">
        <v>43</v>
      </c>
      <c r="E133" s="2" t="s">
        <v>21</v>
      </c>
      <c r="F133" s="2" t="s">
        <v>15</v>
      </c>
      <c r="G133" s="2" t="s">
        <v>23</v>
      </c>
      <c r="H133" s="2">
        <v>20</v>
      </c>
      <c r="I133" s="2" t="s">
        <v>24</v>
      </c>
      <c r="J133" s="2">
        <v>1</v>
      </c>
      <c r="K133" s="5">
        <v>45611</v>
      </c>
    </row>
    <row r="134" spans="1:11" x14ac:dyDescent="0.35">
      <c r="A134" s="4" t="s">
        <v>176</v>
      </c>
      <c r="B134" s="2" t="s">
        <v>55</v>
      </c>
      <c r="C134" s="2">
        <v>727.89</v>
      </c>
      <c r="D134" s="2" t="s">
        <v>52</v>
      </c>
      <c r="E134" s="2" t="s">
        <v>21</v>
      </c>
      <c r="F134" s="2" t="s">
        <v>50</v>
      </c>
      <c r="G134" s="2" t="s">
        <v>33</v>
      </c>
      <c r="H134" s="2">
        <v>38</v>
      </c>
      <c r="I134" s="2" t="s">
        <v>24</v>
      </c>
      <c r="J134" s="2">
        <v>2</v>
      </c>
      <c r="K134" s="5">
        <v>45707</v>
      </c>
    </row>
    <row r="135" spans="1:11" x14ac:dyDescent="0.35">
      <c r="A135" s="4" t="s">
        <v>177</v>
      </c>
      <c r="B135" s="2" t="s">
        <v>12</v>
      </c>
      <c r="C135" s="2">
        <v>428.71</v>
      </c>
      <c r="D135" s="2" t="s">
        <v>52</v>
      </c>
      <c r="E135" s="2" t="s">
        <v>32</v>
      </c>
      <c r="F135" s="2" t="s">
        <v>50</v>
      </c>
      <c r="G135" s="2" t="s">
        <v>28</v>
      </c>
      <c r="H135" s="2">
        <v>60</v>
      </c>
      <c r="I135" s="2" t="s">
        <v>17</v>
      </c>
      <c r="J135" s="2">
        <v>2</v>
      </c>
      <c r="K135" s="5">
        <v>45264</v>
      </c>
    </row>
    <row r="136" spans="1:11" x14ac:dyDescent="0.35">
      <c r="A136" s="4" t="s">
        <v>178</v>
      </c>
      <c r="B136" s="2" t="s">
        <v>12</v>
      </c>
      <c r="C136" s="2">
        <v>130.83000000000001</v>
      </c>
      <c r="D136" s="2" t="s">
        <v>20</v>
      </c>
      <c r="E136" s="2" t="s">
        <v>32</v>
      </c>
      <c r="F136" s="2" t="s">
        <v>22</v>
      </c>
      <c r="G136" s="2" t="s">
        <v>23</v>
      </c>
      <c r="H136" s="2">
        <v>34</v>
      </c>
      <c r="I136" s="2" t="s">
        <v>17</v>
      </c>
      <c r="J136" s="2">
        <v>5</v>
      </c>
      <c r="K136" s="5">
        <v>45341</v>
      </c>
    </row>
    <row r="137" spans="1:11" x14ac:dyDescent="0.35">
      <c r="A137" s="4" t="s">
        <v>179</v>
      </c>
      <c r="B137" s="2" t="s">
        <v>30</v>
      </c>
      <c r="C137" s="2">
        <v>584.76</v>
      </c>
      <c r="D137" s="2" t="s">
        <v>39</v>
      </c>
      <c r="E137" s="2" t="s">
        <v>32</v>
      </c>
      <c r="F137" s="2" t="s">
        <v>22</v>
      </c>
      <c r="G137" s="2" t="s">
        <v>16</v>
      </c>
      <c r="H137" s="2">
        <v>30</v>
      </c>
      <c r="I137" s="2" t="s">
        <v>17</v>
      </c>
      <c r="J137" s="2">
        <v>4</v>
      </c>
      <c r="K137" s="5">
        <v>45238</v>
      </c>
    </row>
    <row r="138" spans="1:11" x14ac:dyDescent="0.35">
      <c r="A138" s="4" t="s">
        <v>180</v>
      </c>
      <c r="B138" s="2" t="s">
        <v>42</v>
      </c>
      <c r="C138" s="2">
        <v>599.63</v>
      </c>
      <c r="D138" s="2" t="s">
        <v>39</v>
      </c>
      <c r="E138" s="2" t="s">
        <v>47</v>
      </c>
      <c r="F138" s="2" t="s">
        <v>22</v>
      </c>
      <c r="G138" s="2" t="s">
        <v>23</v>
      </c>
      <c r="H138" s="2">
        <v>39</v>
      </c>
      <c r="I138" s="2" t="s">
        <v>17</v>
      </c>
      <c r="J138" s="2">
        <v>2</v>
      </c>
      <c r="K138" s="5">
        <v>45225</v>
      </c>
    </row>
    <row r="139" spans="1:11" x14ac:dyDescent="0.35">
      <c r="A139" s="4" t="s">
        <v>181</v>
      </c>
      <c r="B139" s="2" t="s">
        <v>38</v>
      </c>
      <c r="C139" s="2">
        <v>1376.82</v>
      </c>
      <c r="D139" s="2" t="s">
        <v>31</v>
      </c>
      <c r="E139" s="2" t="s">
        <v>47</v>
      </c>
      <c r="F139" s="2" t="s">
        <v>15</v>
      </c>
      <c r="G139" s="2" t="s">
        <v>28</v>
      </c>
      <c r="H139" s="2">
        <v>48</v>
      </c>
      <c r="I139" s="2" t="s">
        <v>24</v>
      </c>
      <c r="J139" s="2">
        <v>4</v>
      </c>
      <c r="K139" s="5">
        <v>45672</v>
      </c>
    </row>
    <row r="140" spans="1:11" x14ac:dyDescent="0.35">
      <c r="A140" s="4" t="s">
        <v>182</v>
      </c>
      <c r="B140" s="2" t="s">
        <v>35</v>
      </c>
      <c r="C140" s="2">
        <v>271.7</v>
      </c>
      <c r="D140" s="2" t="s">
        <v>13</v>
      </c>
      <c r="E140" s="2" t="s">
        <v>47</v>
      </c>
      <c r="F140" s="2" t="s">
        <v>15</v>
      </c>
      <c r="G140" s="2" t="s">
        <v>28</v>
      </c>
      <c r="H140" s="2">
        <v>36</v>
      </c>
      <c r="I140" s="2" t="s">
        <v>17</v>
      </c>
      <c r="J140" s="2">
        <v>2</v>
      </c>
      <c r="K140" s="5">
        <v>45486</v>
      </c>
    </row>
    <row r="141" spans="1:11" x14ac:dyDescent="0.35">
      <c r="A141" s="4" t="s">
        <v>183</v>
      </c>
      <c r="B141" s="2" t="s">
        <v>42</v>
      </c>
      <c r="C141" s="2">
        <v>1770.86</v>
      </c>
      <c r="D141" s="2" t="s">
        <v>52</v>
      </c>
      <c r="E141" s="2" t="s">
        <v>47</v>
      </c>
      <c r="F141" s="2" t="s">
        <v>50</v>
      </c>
      <c r="G141" s="2" t="s">
        <v>23</v>
      </c>
      <c r="H141" s="2">
        <v>37</v>
      </c>
      <c r="I141" s="2" t="s">
        <v>17</v>
      </c>
      <c r="J141" s="2">
        <v>2</v>
      </c>
      <c r="K141" s="5">
        <v>45181</v>
      </c>
    </row>
    <row r="142" spans="1:11" x14ac:dyDescent="0.35">
      <c r="A142" s="4" t="s">
        <v>184</v>
      </c>
      <c r="B142" s="2" t="s">
        <v>30</v>
      </c>
      <c r="C142" s="2">
        <v>1461.21</v>
      </c>
      <c r="D142" s="2" t="s">
        <v>52</v>
      </c>
      <c r="E142" s="2" t="s">
        <v>32</v>
      </c>
      <c r="F142" s="2" t="s">
        <v>50</v>
      </c>
      <c r="G142" s="2" t="s">
        <v>28</v>
      </c>
      <c r="H142" s="2">
        <v>37</v>
      </c>
      <c r="I142" s="2" t="s">
        <v>17</v>
      </c>
      <c r="J142" s="2">
        <v>4</v>
      </c>
      <c r="K142" s="5">
        <v>45601</v>
      </c>
    </row>
    <row r="143" spans="1:11" x14ac:dyDescent="0.35">
      <c r="A143" s="4" t="s">
        <v>185</v>
      </c>
      <c r="B143" s="2" t="s">
        <v>30</v>
      </c>
      <c r="C143" s="2">
        <v>635.04</v>
      </c>
      <c r="D143" s="2" t="s">
        <v>52</v>
      </c>
      <c r="E143" s="2" t="s">
        <v>21</v>
      </c>
      <c r="F143" s="2" t="s">
        <v>50</v>
      </c>
      <c r="G143" s="2" t="s">
        <v>23</v>
      </c>
      <c r="H143" s="2">
        <v>42</v>
      </c>
      <c r="I143" s="2" t="s">
        <v>17</v>
      </c>
      <c r="J143" s="2">
        <v>2</v>
      </c>
      <c r="K143" s="5">
        <v>45435</v>
      </c>
    </row>
    <row r="144" spans="1:11" x14ac:dyDescent="0.35">
      <c r="A144" s="4" t="s">
        <v>186</v>
      </c>
      <c r="B144" s="2" t="s">
        <v>30</v>
      </c>
      <c r="C144" s="2">
        <v>484.07</v>
      </c>
      <c r="D144" s="2" t="s">
        <v>20</v>
      </c>
      <c r="E144" s="2" t="s">
        <v>21</v>
      </c>
      <c r="F144" s="2" t="s">
        <v>22</v>
      </c>
      <c r="G144" s="2" t="s">
        <v>16</v>
      </c>
      <c r="H144" s="2">
        <v>46</v>
      </c>
      <c r="I144" s="2" t="s">
        <v>24</v>
      </c>
      <c r="J144" s="2">
        <v>3</v>
      </c>
      <c r="K144" s="5">
        <v>45269</v>
      </c>
    </row>
    <row r="145" spans="1:11" x14ac:dyDescent="0.35">
      <c r="A145" s="4" t="s">
        <v>187</v>
      </c>
      <c r="B145" s="2" t="s">
        <v>19</v>
      </c>
      <c r="C145" s="2">
        <v>635.78</v>
      </c>
      <c r="D145" s="2" t="s">
        <v>45</v>
      </c>
      <c r="E145" s="2" t="s">
        <v>32</v>
      </c>
      <c r="F145" s="2" t="s">
        <v>15</v>
      </c>
      <c r="G145" s="2" t="s">
        <v>33</v>
      </c>
      <c r="H145" s="2">
        <v>49</v>
      </c>
      <c r="I145" s="2" t="s">
        <v>17</v>
      </c>
      <c r="J145" s="2">
        <v>2</v>
      </c>
      <c r="K145" s="5">
        <v>45572</v>
      </c>
    </row>
    <row r="146" spans="1:11" x14ac:dyDescent="0.35">
      <c r="A146" s="4" t="s">
        <v>188</v>
      </c>
      <c r="B146" s="2" t="s">
        <v>19</v>
      </c>
      <c r="C146" s="2">
        <v>1398.31</v>
      </c>
      <c r="D146" s="2" t="s">
        <v>31</v>
      </c>
      <c r="E146" s="2" t="s">
        <v>21</v>
      </c>
      <c r="F146" s="2" t="s">
        <v>15</v>
      </c>
      <c r="G146" s="2" t="s">
        <v>16</v>
      </c>
      <c r="H146" s="2">
        <v>52</v>
      </c>
      <c r="I146" s="2" t="s">
        <v>24</v>
      </c>
      <c r="J146" s="2">
        <v>4</v>
      </c>
      <c r="K146" s="5">
        <v>45734</v>
      </c>
    </row>
    <row r="147" spans="1:11" x14ac:dyDescent="0.35">
      <c r="A147" s="4" t="s">
        <v>189</v>
      </c>
      <c r="B147" s="2" t="s">
        <v>55</v>
      </c>
      <c r="C147" s="2">
        <v>1542.79</v>
      </c>
      <c r="D147" s="2" t="s">
        <v>20</v>
      </c>
      <c r="E147" s="2" t="s">
        <v>21</v>
      </c>
      <c r="F147" s="2" t="s">
        <v>22</v>
      </c>
      <c r="G147" s="2" t="s">
        <v>33</v>
      </c>
      <c r="H147" s="2">
        <v>23</v>
      </c>
      <c r="I147" s="2" t="s">
        <v>17</v>
      </c>
      <c r="J147" s="2">
        <v>5</v>
      </c>
      <c r="K147" s="5">
        <v>45535</v>
      </c>
    </row>
    <row r="148" spans="1:11" x14ac:dyDescent="0.35">
      <c r="A148" s="4" t="s">
        <v>190</v>
      </c>
      <c r="B148" s="2" t="s">
        <v>72</v>
      </c>
      <c r="C148" s="2">
        <v>651.86</v>
      </c>
      <c r="D148" s="2" t="s">
        <v>43</v>
      </c>
      <c r="E148" s="2" t="s">
        <v>32</v>
      </c>
      <c r="F148" s="2" t="s">
        <v>15</v>
      </c>
      <c r="G148" s="2" t="s">
        <v>23</v>
      </c>
      <c r="H148" s="2">
        <v>23</v>
      </c>
      <c r="I148" s="2" t="s">
        <v>17</v>
      </c>
      <c r="J148" s="2">
        <v>4</v>
      </c>
      <c r="K148" s="5">
        <v>45705</v>
      </c>
    </row>
    <row r="149" spans="1:11" x14ac:dyDescent="0.35">
      <c r="A149" s="4" t="s">
        <v>191</v>
      </c>
      <c r="B149" s="2" t="s">
        <v>65</v>
      </c>
      <c r="C149" s="2">
        <v>1721.73</v>
      </c>
      <c r="D149" s="2" t="s">
        <v>39</v>
      </c>
      <c r="E149" s="2" t="s">
        <v>47</v>
      </c>
      <c r="F149" s="2" t="s">
        <v>22</v>
      </c>
      <c r="G149" s="2" t="s">
        <v>23</v>
      </c>
      <c r="H149" s="2">
        <v>27</v>
      </c>
      <c r="I149" s="2" t="s">
        <v>24</v>
      </c>
      <c r="J149" s="2">
        <v>5</v>
      </c>
      <c r="K149" s="5">
        <v>45543</v>
      </c>
    </row>
    <row r="150" spans="1:11" x14ac:dyDescent="0.35">
      <c r="A150" s="4" t="s">
        <v>192</v>
      </c>
      <c r="B150" s="2" t="s">
        <v>38</v>
      </c>
      <c r="C150" s="2">
        <v>842.35</v>
      </c>
      <c r="D150" s="2" t="s">
        <v>43</v>
      </c>
      <c r="E150" s="2" t="s">
        <v>14</v>
      </c>
      <c r="F150" s="2" t="s">
        <v>15</v>
      </c>
      <c r="G150" s="2" t="s">
        <v>28</v>
      </c>
      <c r="H150" s="2">
        <v>20</v>
      </c>
      <c r="I150" s="2" t="s">
        <v>17</v>
      </c>
      <c r="J150" s="2">
        <v>4</v>
      </c>
      <c r="K150" s="5">
        <v>45706</v>
      </c>
    </row>
    <row r="151" spans="1:11" x14ac:dyDescent="0.35">
      <c r="A151" s="4" t="s">
        <v>193</v>
      </c>
      <c r="B151" s="2" t="s">
        <v>30</v>
      </c>
      <c r="C151" s="2">
        <v>1319.26</v>
      </c>
      <c r="D151" s="2" t="s">
        <v>52</v>
      </c>
      <c r="E151" s="2" t="s">
        <v>47</v>
      </c>
      <c r="F151" s="2" t="s">
        <v>50</v>
      </c>
      <c r="G151" s="2" t="s">
        <v>28</v>
      </c>
      <c r="H151" s="2">
        <v>27</v>
      </c>
      <c r="I151" s="2" t="s">
        <v>24</v>
      </c>
      <c r="J151" s="2">
        <v>4</v>
      </c>
      <c r="K151" s="5">
        <v>45720</v>
      </c>
    </row>
    <row r="152" spans="1:11" x14ac:dyDescent="0.35">
      <c r="A152" s="4" t="s">
        <v>194</v>
      </c>
      <c r="B152" s="2" t="s">
        <v>35</v>
      </c>
      <c r="C152" s="2">
        <v>396.82</v>
      </c>
      <c r="D152" s="2" t="s">
        <v>43</v>
      </c>
      <c r="E152" s="2" t="s">
        <v>32</v>
      </c>
      <c r="F152" s="2" t="s">
        <v>15</v>
      </c>
      <c r="G152" s="2" t="s">
        <v>28</v>
      </c>
      <c r="H152" s="2">
        <v>37</v>
      </c>
      <c r="I152" s="2" t="s">
        <v>24</v>
      </c>
      <c r="J152" s="2">
        <v>1</v>
      </c>
      <c r="K152" s="5">
        <v>45346</v>
      </c>
    </row>
    <row r="153" spans="1:11" x14ac:dyDescent="0.35">
      <c r="A153" s="4" t="s">
        <v>195</v>
      </c>
      <c r="B153" s="2" t="s">
        <v>35</v>
      </c>
      <c r="C153" s="2">
        <v>1822.08</v>
      </c>
      <c r="D153" s="2" t="s">
        <v>27</v>
      </c>
      <c r="E153" s="2" t="s">
        <v>47</v>
      </c>
      <c r="F153" s="2" t="s">
        <v>22</v>
      </c>
      <c r="G153" s="2" t="s">
        <v>33</v>
      </c>
      <c r="H153" s="2">
        <v>55</v>
      </c>
      <c r="I153" s="2" t="s">
        <v>24</v>
      </c>
      <c r="J153" s="2">
        <v>3</v>
      </c>
      <c r="K153" s="5">
        <v>45123</v>
      </c>
    </row>
    <row r="154" spans="1:11" x14ac:dyDescent="0.35">
      <c r="A154" s="4" t="s">
        <v>196</v>
      </c>
      <c r="B154" s="2" t="s">
        <v>38</v>
      </c>
      <c r="C154" s="2">
        <v>1441.05</v>
      </c>
      <c r="D154" s="2" t="s">
        <v>39</v>
      </c>
      <c r="E154" s="2" t="s">
        <v>21</v>
      </c>
      <c r="F154" s="2" t="s">
        <v>22</v>
      </c>
      <c r="G154" s="2" t="s">
        <v>23</v>
      </c>
      <c r="H154" s="2">
        <v>24</v>
      </c>
      <c r="I154" s="2" t="s">
        <v>17</v>
      </c>
      <c r="J154" s="2">
        <v>5</v>
      </c>
      <c r="K154" s="5">
        <v>45699</v>
      </c>
    </row>
    <row r="155" spans="1:11" x14ac:dyDescent="0.35">
      <c r="A155" s="4" t="s">
        <v>197</v>
      </c>
      <c r="B155" s="2" t="s">
        <v>26</v>
      </c>
      <c r="C155" s="2">
        <v>1722.29</v>
      </c>
      <c r="D155" s="2" t="s">
        <v>36</v>
      </c>
      <c r="E155" s="2" t="s">
        <v>32</v>
      </c>
      <c r="F155" s="2" t="s">
        <v>15</v>
      </c>
      <c r="G155" s="2" t="s">
        <v>33</v>
      </c>
      <c r="H155" s="2">
        <v>20</v>
      </c>
      <c r="I155" s="2" t="s">
        <v>24</v>
      </c>
      <c r="J155" s="2">
        <v>3</v>
      </c>
      <c r="K155" s="5">
        <v>45262</v>
      </c>
    </row>
    <row r="156" spans="1:11" x14ac:dyDescent="0.35">
      <c r="A156" s="4" t="s">
        <v>198</v>
      </c>
      <c r="B156" s="2" t="s">
        <v>55</v>
      </c>
      <c r="C156" s="2">
        <v>1382.6</v>
      </c>
      <c r="D156" s="2" t="s">
        <v>45</v>
      </c>
      <c r="E156" s="2" t="s">
        <v>21</v>
      </c>
      <c r="F156" s="2" t="s">
        <v>15</v>
      </c>
      <c r="G156" s="2" t="s">
        <v>23</v>
      </c>
      <c r="H156" s="2">
        <v>29</v>
      </c>
      <c r="I156" s="2" t="s">
        <v>17</v>
      </c>
      <c r="J156" s="2">
        <v>4</v>
      </c>
      <c r="K156" s="5">
        <v>45646</v>
      </c>
    </row>
    <row r="157" spans="1:11" x14ac:dyDescent="0.35">
      <c r="A157" s="4" t="s">
        <v>199</v>
      </c>
      <c r="B157" s="2" t="s">
        <v>38</v>
      </c>
      <c r="C157" s="2">
        <v>963.2</v>
      </c>
      <c r="D157" s="2" t="s">
        <v>45</v>
      </c>
      <c r="E157" s="2" t="s">
        <v>21</v>
      </c>
      <c r="F157" s="2" t="s">
        <v>15</v>
      </c>
      <c r="G157" s="2" t="s">
        <v>16</v>
      </c>
      <c r="H157" s="2">
        <v>54</v>
      </c>
      <c r="I157" s="2" t="s">
        <v>17</v>
      </c>
      <c r="J157" s="2">
        <v>1</v>
      </c>
      <c r="K157" s="5">
        <v>45123</v>
      </c>
    </row>
    <row r="158" spans="1:11" x14ac:dyDescent="0.35">
      <c r="A158" s="4" t="s">
        <v>200</v>
      </c>
      <c r="B158" s="2" t="s">
        <v>35</v>
      </c>
      <c r="C158" s="2">
        <v>205.38</v>
      </c>
      <c r="D158" s="2" t="s">
        <v>43</v>
      </c>
      <c r="E158" s="2" t="s">
        <v>47</v>
      </c>
      <c r="F158" s="2" t="s">
        <v>15</v>
      </c>
      <c r="G158" s="2" t="s">
        <v>23</v>
      </c>
      <c r="H158" s="2">
        <v>44</v>
      </c>
      <c r="I158" s="2" t="s">
        <v>17</v>
      </c>
      <c r="J158" s="2">
        <v>4</v>
      </c>
      <c r="K158" s="5">
        <v>45584</v>
      </c>
    </row>
    <row r="159" spans="1:11" x14ac:dyDescent="0.35">
      <c r="A159" s="4" t="s">
        <v>201</v>
      </c>
      <c r="B159" s="2" t="s">
        <v>65</v>
      </c>
      <c r="C159" s="2">
        <v>671.7</v>
      </c>
      <c r="D159" s="2" t="s">
        <v>52</v>
      </c>
      <c r="E159" s="2" t="s">
        <v>32</v>
      </c>
      <c r="F159" s="2" t="s">
        <v>50</v>
      </c>
      <c r="G159" s="2" t="s">
        <v>33</v>
      </c>
      <c r="H159" s="2">
        <v>44</v>
      </c>
      <c r="I159" s="2" t="s">
        <v>24</v>
      </c>
      <c r="J159" s="2">
        <v>5</v>
      </c>
      <c r="K159" s="5">
        <v>45619</v>
      </c>
    </row>
    <row r="160" spans="1:11" x14ac:dyDescent="0.35">
      <c r="A160" s="4" t="s">
        <v>202</v>
      </c>
      <c r="B160" s="2" t="s">
        <v>19</v>
      </c>
      <c r="C160" s="2">
        <v>214.64</v>
      </c>
      <c r="D160" s="2" t="s">
        <v>27</v>
      </c>
      <c r="E160" s="2" t="s">
        <v>47</v>
      </c>
      <c r="F160" s="2" t="s">
        <v>22</v>
      </c>
      <c r="G160" s="2" t="s">
        <v>33</v>
      </c>
      <c r="H160" s="2">
        <v>52</v>
      </c>
      <c r="I160" s="2" t="s">
        <v>24</v>
      </c>
      <c r="J160" s="2">
        <v>5</v>
      </c>
      <c r="K160" s="5">
        <v>45633</v>
      </c>
    </row>
    <row r="161" spans="1:11" x14ac:dyDescent="0.35">
      <c r="A161" s="4" t="s">
        <v>203</v>
      </c>
      <c r="B161" s="2" t="s">
        <v>42</v>
      </c>
      <c r="C161" s="2">
        <v>250.45</v>
      </c>
      <c r="D161" s="2" t="s">
        <v>49</v>
      </c>
      <c r="E161" s="2" t="s">
        <v>21</v>
      </c>
      <c r="F161" s="2" t="s">
        <v>50</v>
      </c>
      <c r="G161" s="2" t="s">
        <v>28</v>
      </c>
      <c r="H161" s="2">
        <v>53</v>
      </c>
      <c r="I161" s="2" t="s">
        <v>24</v>
      </c>
      <c r="J161" s="2">
        <v>3</v>
      </c>
      <c r="K161" s="5">
        <v>45176</v>
      </c>
    </row>
    <row r="162" spans="1:11" x14ac:dyDescent="0.35">
      <c r="A162" s="4" t="s">
        <v>204</v>
      </c>
      <c r="B162" s="2" t="s">
        <v>26</v>
      </c>
      <c r="C162" s="2">
        <v>1227.22</v>
      </c>
      <c r="D162" s="2" t="s">
        <v>31</v>
      </c>
      <c r="E162" s="2" t="s">
        <v>32</v>
      </c>
      <c r="F162" s="2" t="s">
        <v>15</v>
      </c>
      <c r="G162" s="2" t="s">
        <v>33</v>
      </c>
      <c r="H162" s="2">
        <v>24</v>
      </c>
      <c r="I162" s="2" t="s">
        <v>24</v>
      </c>
      <c r="J162" s="2">
        <v>2</v>
      </c>
      <c r="K162" s="5">
        <v>45581</v>
      </c>
    </row>
    <row r="163" spans="1:11" x14ac:dyDescent="0.35">
      <c r="A163" s="4" t="s">
        <v>205</v>
      </c>
      <c r="B163" s="2" t="s">
        <v>30</v>
      </c>
      <c r="C163" s="2">
        <v>1089.42</v>
      </c>
      <c r="D163" s="2" t="s">
        <v>43</v>
      </c>
      <c r="E163" s="2" t="s">
        <v>32</v>
      </c>
      <c r="F163" s="2" t="s">
        <v>15</v>
      </c>
      <c r="G163" s="2" t="s">
        <v>23</v>
      </c>
      <c r="H163" s="2">
        <v>41</v>
      </c>
      <c r="I163" s="2" t="s">
        <v>24</v>
      </c>
      <c r="J163" s="2">
        <v>4</v>
      </c>
      <c r="K163" s="5">
        <v>45705</v>
      </c>
    </row>
    <row r="164" spans="1:11" x14ac:dyDescent="0.35">
      <c r="A164" s="4" t="s">
        <v>206</v>
      </c>
      <c r="B164" s="2" t="s">
        <v>65</v>
      </c>
      <c r="C164" s="2">
        <v>736.53</v>
      </c>
      <c r="D164" s="2" t="s">
        <v>39</v>
      </c>
      <c r="E164" s="2" t="s">
        <v>47</v>
      </c>
      <c r="F164" s="2" t="s">
        <v>22</v>
      </c>
      <c r="G164" s="2" t="s">
        <v>33</v>
      </c>
      <c r="H164" s="2">
        <v>22</v>
      </c>
      <c r="I164" s="2" t="s">
        <v>17</v>
      </c>
      <c r="J164" s="2">
        <v>3</v>
      </c>
      <c r="K164" s="5">
        <v>45661</v>
      </c>
    </row>
    <row r="165" spans="1:11" x14ac:dyDescent="0.35">
      <c r="A165" s="4" t="s">
        <v>207</v>
      </c>
      <c r="B165" s="2" t="s">
        <v>30</v>
      </c>
      <c r="C165" s="2">
        <v>1549.3</v>
      </c>
      <c r="D165" s="2" t="s">
        <v>49</v>
      </c>
      <c r="E165" s="2" t="s">
        <v>32</v>
      </c>
      <c r="F165" s="2" t="s">
        <v>50</v>
      </c>
      <c r="G165" s="2" t="s">
        <v>23</v>
      </c>
      <c r="H165" s="2">
        <v>47</v>
      </c>
      <c r="I165" s="2" t="s">
        <v>17</v>
      </c>
      <c r="J165" s="2">
        <v>3</v>
      </c>
      <c r="K165" s="5">
        <v>45675</v>
      </c>
    </row>
    <row r="166" spans="1:11" x14ac:dyDescent="0.35">
      <c r="A166" s="4" t="s">
        <v>208</v>
      </c>
      <c r="B166" s="2" t="s">
        <v>12</v>
      </c>
      <c r="C166" s="2">
        <v>917.61</v>
      </c>
      <c r="D166" s="2" t="s">
        <v>20</v>
      </c>
      <c r="E166" s="2" t="s">
        <v>47</v>
      </c>
      <c r="F166" s="2" t="s">
        <v>22</v>
      </c>
      <c r="G166" s="2" t="s">
        <v>33</v>
      </c>
      <c r="H166" s="2">
        <v>21</v>
      </c>
      <c r="I166" s="2" t="s">
        <v>24</v>
      </c>
      <c r="J166" s="2">
        <v>1</v>
      </c>
      <c r="K166" s="5">
        <v>45493</v>
      </c>
    </row>
    <row r="167" spans="1:11" x14ac:dyDescent="0.35">
      <c r="A167" s="4" t="s">
        <v>209</v>
      </c>
      <c r="B167" s="2" t="s">
        <v>30</v>
      </c>
      <c r="C167" s="2">
        <v>696.1</v>
      </c>
      <c r="D167" s="2" t="s">
        <v>27</v>
      </c>
      <c r="E167" s="2" t="s">
        <v>32</v>
      </c>
      <c r="F167" s="2" t="s">
        <v>22</v>
      </c>
      <c r="G167" s="2" t="s">
        <v>16</v>
      </c>
      <c r="H167" s="2">
        <v>47</v>
      </c>
      <c r="I167" s="2" t="s">
        <v>17</v>
      </c>
      <c r="J167" s="2">
        <v>5</v>
      </c>
      <c r="K167" s="5">
        <v>45547</v>
      </c>
    </row>
    <row r="168" spans="1:11" x14ac:dyDescent="0.35">
      <c r="A168" s="4" t="s">
        <v>210</v>
      </c>
      <c r="B168" s="2" t="s">
        <v>55</v>
      </c>
      <c r="C168" s="2">
        <v>1105.8499999999999</v>
      </c>
      <c r="D168" s="2" t="s">
        <v>39</v>
      </c>
      <c r="E168" s="2" t="s">
        <v>21</v>
      </c>
      <c r="F168" s="2" t="s">
        <v>22</v>
      </c>
      <c r="G168" s="2" t="s">
        <v>16</v>
      </c>
      <c r="H168" s="2">
        <v>31</v>
      </c>
      <c r="I168" s="2" t="s">
        <v>24</v>
      </c>
      <c r="J168" s="2">
        <v>3</v>
      </c>
      <c r="K168" s="5">
        <v>45635</v>
      </c>
    </row>
    <row r="169" spans="1:11" x14ac:dyDescent="0.35">
      <c r="A169" s="4" t="s">
        <v>211</v>
      </c>
      <c r="B169" s="2" t="s">
        <v>65</v>
      </c>
      <c r="C169" s="2">
        <v>1019.28</v>
      </c>
      <c r="D169" s="2" t="s">
        <v>36</v>
      </c>
      <c r="E169" s="2" t="s">
        <v>32</v>
      </c>
      <c r="F169" s="2" t="s">
        <v>15</v>
      </c>
      <c r="G169" s="2" t="s">
        <v>16</v>
      </c>
      <c r="H169" s="2">
        <v>57</v>
      </c>
      <c r="I169" s="2" t="s">
        <v>24</v>
      </c>
      <c r="J169" s="2">
        <v>4</v>
      </c>
      <c r="K169" s="5">
        <v>45508</v>
      </c>
    </row>
    <row r="170" spans="1:11" x14ac:dyDescent="0.35">
      <c r="A170" s="4" t="s">
        <v>212</v>
      </c>
      <c r="B170" s="2" t="s">
        <v>55</v>
      </c>
      <c r="C170" s="2">
        <v>1858.25</v>
      </c>
      <c r="D170" s="2" t="s">
        <v>49</v>
      </c>
      <c r="E170" s="2" t="s">
        <v>32</v>
      </c>
      <c r="F170" s="2" t="s">
        <v>50</v>
      </c>
      <c r="G170" s="2" t="s">
        <v>16</v>
      </c>
      <c r="H170" s="2">
        <v>20</v>
      </c>
      <c r="I170" s="2" t="s">
        <v>17</v>
      </c>
      <c r="J170" s="2">
        <v>5</v>
      </c>
      <c r="K170" s="5">
        <v>45423</v>
      </c>
    </row>
    <row r="171" spans="1:11" x14ac:dyDescent="0.35">
      <c r="A171" s="4" t="s">
        <v>213</v>
      </c>
      <c r="B171" s="2" t="s">
        <v>65</v>
      </c>
      <c r="C171" s="2">
        <v>1541.34</v>
      </c>
      <c r="D171" s="2" t="s">
        <v>45</v>
      </c>
      <c r="E171" s="2" t="s">
        <v>47</v>
      </c>
      <c r="F171" s="2" t="s">
        <v>15</v>
      </c>
      <c r="G171" s="2" t="s">
        <v>33</v>
      </c>
      <c r="H171" s="2">
        <v>24</v>
      </c>
      <c r="I171" s="2" t="s">
        <v>24</v>
      </c>
      <c r="J171" s="2">
        <v>3</v>
      </c>
      <c r="K171" s="5">
        <v>45536</v>
      </c>
    </row>
    <row r="172" spans="1:11" x14ac:dyDescent="0.35">
      <c r="A172" s="4" t="s">
        <v>214</v>
      </c>
      <c r="B172" s="2" t="s">
        <v>55</v>
      </c>
      <c r="C172" s="2">
        <v>920.18</v>
      </c>
      <c r="D172" s="2" t="s">
        <v>20</v>
      </c>
      <c r="E172" s="2" t="s">
        <v>32</v>
      </c>
      <c r="F172" s="2" t="s">
        <v>22</v>
      </c>
      <c r="G172" s="2" t="s">
        <v>28</v>
      </c>
      <c r="H172" s="2">
        <v>36</v>
      </c>
      <c r="I172" s="2" t="s">
        <v>17</v>
      </c>
      <c r="J172" s="2">
        <v>1</v>
      </c>
      <c r="K172" s="5">
        <v>45206</v>
      </c>
    </row>
    <row r="173" spans="1:11" x14ac:dyDescent="0.35">
      <c r="A173" s="4" t="s">
        <v>215</v>
      </c>
      <c r="B173" s="2" t="s">
        <v>35</v>
      </c>
      <c r="C173" s="2">
        <v>650.27</v>
      </c>
      <c r="D173" s="2" t="s">
        <v>27</v>
      </c>
      <c r="E173" s="2" t="s">
        <v>47</v>
      </c>
      <c r="F173" s="2" t="s">
        <v>22</v>
      </c>
      <c r="G173" s="2" t="s">
        <v>16</v>
      </c>
      <c r="H173" s="2">
        <v>26</v>
      </c>
      <c r="I173" s="2" t="s">
        <v>17</v>
      </c>
      <c r="J173" s="2">
        <v>2</v>
      </c>
      <c r="K173" s="5">
        <v>45418</v>
      </c>
    </row>
    <row r="174" spans="1:11" x14ac:dyDescent="0.35">
      <c r="A174" s="4" t="s">
        <v>216</v>
      </c>
      <c r="B174" s="2" t="s">
        <v>38</v>
      </c>
      <c r="C174" s="2">
        <v>1125.6600000000001</v>
      </c>
      <c r="D174" s="2" t="s">
        <v>45</v>
      </c>
      <c r="E174" s="2" t="s">
        <v>47</v>
      </c>
      <c r="F174" s="2" t="s">
        <v>15</v>
      </c>
      <c r="G174" s="2" t="s">
        <v>23</v>
      </c>
      <c r="H174" s="2">
        <v>21</v>
      </c>
      <c r="I174" s="2" t="s">
        <v>24</v>
      </c>
      <c r="J174" s="2">
        <v>3</v>
      </c>
      <c r="K174" s="5">
        <v>45463</v>
      </c>
    </row>
    <row r="175" spans="1:11" x14ac:dyDescent="0.35">
      <c r="A175" s="4" t="s">
        <v>217</v>
      </c>
      <c r="B175" s="2" t="s">
        <v>55</v>
      </c>
      <c r="C175" s="2">
        <v>685.65</v>
      </c>
      <c r="D175" s="2" t="s">
        <v>52</v>
      </c>
      <c r="E175" s="2" t="s">
        <v>21</v>
      </c>
      <c r="F175" s="2" t="s">
        <v>50</v>
      </c>
      <c r="G175" s="2" t="s">
        <v>23</v>
      </c>
      <c r="H175" s="2">
        <v>23</v>
      </c>
      <c r="I175" s="2" t="s">
        <v>24</v>
      </c>
      <c r="J175" s="2">
        <v>2</v>
      </c>
      <c r="K175" s="5">
        <v>45792</v>
      </c>
    </row>
    <row r="176" spans="1:11" x14ac:dyDescent="0.35">
      <c r="A176" s="4" t="s">
        <v>218</v>
      </c>
      <c r="B176" s="2" t="s">
        <v>72</v>
      </c>
      <c r="C176" s="2">
        <v>1614.36</v>
      </c>
      <c r="D176" s="2" t="s">
        <v>39</v>
      </c>
      <c r="E176" s="2" t="s">
        <v>14</v>
      </c>
      <c r="F176" s="2" t="s">
        <v>22</v>
      </c>
      <c r="G176" s="2" t="s">
        <v>16</v>
      </c>
      <c r="H176" s="2">
        <v>42</v>
      </c>
      <c r="I176" s="2" t="s">
        <v>24</v>
      </c>
      <c r="J176" s="2">
        <v>3</v>
      </c>
      <c r="K176" s="5">
        <v>45248</v>
      </c>
    </row>
    <row r="177" spans="1:11" x14ac:dyDescent="0.35">
      <c r="A177" s="4" t="s">
        <v>219</v>
      </c>
      <c r="B177" s="2" t="s">
        <v>35</v>
      </c>
      <c r="C177" s="2">
        <v>1272.5</v>
      </c>
      <c r="D177" s="2" t="s">
        <v>27</v>
      </c>
      <c r="E177" s="2" t="s">
        <v>47</v>
      </c>
      <c r="F177" s="2" t="s">
        <v>22</v>
      </c>
      <c r="G177" s="2" t="s">
        <v>28</v>
      </c>
      <c r="H177" s="2">
        <v>60</v>
      </c>
      <c r="I177" s="2" t="s">
        <v>24</v>
      </c>
      <c r="J177" s="2">
        <v>5</v>
      </c>
      <c r="K177" s="5">
        <v>45299</v>
      </c>
    </row>
    <row r="178" spans="1:11" x14ac:dyDescent="0.35">
      <c r="A178" s="4" t="s">
        <v>220</v>
      </c>
      <c r="B178" s="2" t="s">
        <v>65</v>
      </c>
      <c r="C178" s="2">
        <v>830.46</v>
      </c>
      <c r="D178" s="2" t="s">
        <v>27</v>
      </c>
      <c r="E178" s="2" t="s">
        <v>21</v>
      </c>
      <c r="F178" s="2" t="s">
        <v>22</v>
      </c>
      <c r="G178" s="2" t="s">
        <v>28</v>
      </c>
      <c r="H178" s="2">
        <v>57</v>
      </c>
      <c r="I178" s="2" t="s">
        <v>17</v>
      </c>
      <c r="J178" s="2">
        <v>5</v>
      </c>
      <c r="K178" s="5">
        <v>45762</v>
      </c>
    </row>
    <row r="179" spans="1:11" x14ac:dyDescent="0.35">
      <c r="A179" s="4" t="s">
        <v>221</v>
      </c>
      <c r="B179" s="2" t="s">
        <v>55</v>
      </c>
      <c r="C179" s="2">
        <v>1728.57</v>
      </c>
      <c r="D179" s="2" t="s">
        <v>31</v>
      </c>
      <c r="E179" s="2" t="s">
        <v>47</v>
      </c>
      <c r="F179" s="2" t="s">
        <v>15</v>
      </c>
      <c r="G179" s="2" t="s">
        <v>28</v>
      </c>
      <c r="H179" s="2">
        <v>46</v>
      </c>
      <c r="I179" s="2" t="s">
        <v>17</v>
      </c>
      <c r="J179" s="2">
        <v>3</v>
      </c>
      <c r="K179" s="5">
        <v>45587</v>
      </c>
    </row>
    <row r="180" spans="1:11" x14ac:dyDescent="0.35">
      <c r="A180" s="4" t="s">
        <v>222</v>
      </c>
      <c r="B180" s="2" t="s">
        <v>19</v>
      </c>
      <c r="C180" s="2">
        <v>1649.23</v>
      </c>
      <c r="D180" s="2" t="s">
        <v>13</v>
      </c>
      <c r="E180" s="2" t="s">
        <v>21</v>
      </c>
      <c r="F180" s="2" t="s">
        <v>15</v>
      </c>
      <c r="G180" s="2" t="s">
        <v>16</v>
      </c>
      <c r="H180" s="2">
        <v>52</v>
      </c>
      <c r="I180" s="2" t="s">
        <v>24</v>
      </c>
      <c r="J180" s="2">
        <v>5</v>
      </c>
      <c r="K180" s="5">
        <v>45809</v>
      </c>
    </row>
    <row r="181" spans="1:11" x14ac:dyDescent="0.35">
      <c r="A181" s="4" t="s">
        <v>223</v>
      </c>
      <c r="B181" s="2" t="s">
        <v>30</v>
      </c>
      <c r="C181" s="2">
        <v>1773.79</v>
      </c>
      <c r="D181" s="2" t="s">
        <v>45</v>
      </c>
      <c r="E181" s="2" t="s">
        <v>21</v>
      </c>
      <c r="F181" s="2" t="s">
        <v>15</v>
      </c>
      <c r="G181" s="2" t="s">
        <v>16</v>
      </c>
      <c r="H181" s="2">
        <v>41</v>
      </c>
      <c r="I181" s="2" t="s">
        <v>17</v>
      </c>
      <c r="J181" s="2">
        <v>3</v>
      </c>
      <c r="K181" s="5">
        <v>45655</v>
      </c>
    </row>
    <row r="182" spans="1:11" x14ac:dyDescent="0.35">
      <c r="A182" s="4" t="s">
        <v>224</v>
      </c>
      <c r="B182" s="2" t="s">
        <v>55</v>
      </c>
      <c r="C182" s="2">
        <v>1237.19</v>
      </c>
      <c r="D182" s="2" t="s">
        <v>36</v>
      </c>
      <c r="E182" s="2" t="s">
        <v>47</v>
      </c>
      <c r="F182" s="2" t="s">
        <v>15</v>
      </c>
      <c r="G182" s="2" t="s">
        <v>23</v>
      </c>
      <c r="H182" s="2">
        <v>45</v>
      </c>
      <c r="I182" s="2" t="s">
        <v>24</v>
      </c>
      <c r="J182" s="2">
        <v>1</v>
      </c>
      <c r="K182" s="5">
        <v>45497</v>
      </c>
    </row>
    <row r="183" spans="1:11" x14ac:dyDescent="0.35">
      <c r="A183" s="4" t="s">
        <v>225</v>
      </c>
      <c r="B183" s="2" t="s">
        <v>35</v>
      </c>
      <c r="C183" s="2">
        <v>333.64</v>
      </c>
      <c r="D183" s="2" t="s">
        <v>49</v>
      </c>
      <c r="E183" s="2" t="s">
        <v>226</v>
      </c>
      <c r="F183" s="2" t="s">
        <v>50</v>
      </c>
      <c r="G183" s="2" t="s">
        <v>16</v>
      </c>
      <c r="H183" s="2">
        <v>36</v>
      </c>
      <c r="I183" s="2" t="s">
        <v>24</v>
      </c>
      <c r="J183" s="2">
        <v>3</v>
      </c>
      <c r="K183" s="5">
        <v>45106</v>
      </c>
    </row>
    <row r="184" spans="1:11" x14ac:dyDescent="0.35">
      <c r="A184" s="4" t="s">
        <v>227</v>
      </c>
      <c r="B184" s="2" t="s">
        <v>38</v>
      </c>
      <c r="C184" s="2">
        <v>792.17</v>
      </c>
      <c r="D184" s="2" t="s">
        <v>36</v>
      </c>
      <c r="E184" s="2" t="s">
        <v>21</v>
      </c>
      <c r="F184" s="2" t="s">
        <v>15</v>
      </c>
      <c r="G184" s="2" t="s">
        <v>16</v>
      </c>
      <c r="H184" s="2">
        <v>44</v>
      </c>
      <c r="I184" s="2" t="s">
        <v>24</v>
      </c>
      <c r="J184" s="2">
        <v>4</v>
      </c>
      <c r="K184" s="5">
        <v>45808</v>
      </c>
    </row>
    <row r="185" spans="1:11" x14ac:dyDescent="0.35">
      <c r="A185" s="4" t="s">
        <v>228</v>
      </c>
      <c r="B185" s="2" t="s">
        <v>19</v>
      </c>
      <c r="C185" s="2">
        <v>1425.26</v>
      </c>
      <c r="D185" s="2" t="s">
        <v>20</v>
      </c>
      <c r="E185" s="2" t="s">
        <v>47</v>
      </c>
      <c r="F185" s="2" t="s">
        <v>22</v>
      </c>
      <c r="G185" s="2" t="s">
        <v>16</v>
      </c>
      <c r="H185" s="2">
        <v>21</v>
      </c>
      <c r="I185" s="2" t="s">
        <v>24</v>
      </c>
      <c r="J185" s="2">
        <v>1</v>
      </c>
      <c r="K185" s="5">
        <v>45178</v>
      </c>
    </row>
    <row r="186" spans="1:11" x14ac:dyDescent="0.35">
      <c r="A186" s="4" t="s">
        <v>229</v>
      </c>
      <c r="B186" s="2" t="s">
        <v>55</v>
      </c>
      <c r="C186" s="2">
        <v>695.37</v>
      </c>
      <c r="D186" s="2" t="s">
        <v>31</v>
      </c>
      <c r="E186" s="2" t="s">
        <v>21</v>
      </c>
      <c r="F186" s="2" t="s">
        <v>15</v>
      </c>
      <c r="G186" s="2" t="s">
        <v>23</v>
      </c>
      <c r="H186" s="2">
        <v>60</v>
      </c>
      <c r="I186" s="2" t="s">
        <v>24</v>
      </c>
      <c r="J186" s="2">
        <v>5</v>
      </c>
      <c r="K186" s="5">
        <v>45236</v>
      </c>
    </row>
    <row r="187" spans="1:11" x14ac:dyDescent="0.35">
      <c r="A187" s="4" t="s">
        <v>230</v>
      </c>
      <c r="B187" s="2" t="s">
        <v>26</v>
      </c>
      <c r="C187" s="2">
        <v>166.52</v>
      </c>
      <c r="D187" s="2" t="s">
        <v>43</v>
      </c>
      <c r="E187" s="2" t="s">
        <v>14</v>
      </c>
      <c r="F187" s="2" t="s">
        <v>15</v>
      </c>
      <c r="G187" s="2" t="s">
        <v>28</v>
      </c>
      <c r="H187" s="2">
        <v>22</v>
      </c>
      <c r="I187" s="2" t="s">
        <v>24</v>
      </c>
      <c r="J187" s="2">
        <v>4</v>
      </c>
      <c r="K187" s="5">
        <v>45301</v>
      </c>
    </row>
    <row r="188" spans="1:11" x14ac:dyDescent="0.35">
      <c r="A188" s="4" t="s">
        <v>231</v>
      </c>
      <c r="B188" s="2" t="s">
        <v>12</v>
      </c>
      <c r="C188" s="2">
        <v>667.67</v>
      </c>
      <c r="D188" s="2" t="s">
        <v>49</v>
      </c>
      <c r="E188" s="2" t="s">
        <v>47</v>
      </c>
      <c r="F188" s="2" t="s">
        <v>50</v>
      </c>
      <c r="G188" s="2" t="s">
        <v>28</v>
      </c>
      <c r="H188" s="2">
        <v>35</v>
      </c>
      <c r="I188" s="2" t="s">
        <v>24</v>
      </c>
      <c r="J188" s="2">
        <v>5</v>
      </c>
      <c r="K188" s="5">
        <v>45787</v>
      </c>
    </row>
    <row r="189" spans="1:11" x14ac:dyDescent="0.35">
      <c r="A189" s="4" t="s">
        <v>232</v>
      </c>
      <c r="B189" s="2" t="s">
        <v>55</v>
      </c>
      <c r="C189" s="2">
        <v>1344.64</v>
      </c>
      <c r="D189" s="2" t="s">
        <v>45</v>
      </c>
      <c r="E189" s="2" t="s">
        <v>226</v>
      </c>
      <c r="F189" s="2" t="s">
        <v>15</v>
      </c>
      <c r="G189" s="2" t="s">
        <v>23</v>
      </c>
      <c r="H189" s="2">
        <v>54</v>
      </c>
      <c r="I189" s="2" t="s">
        <v>24</v>
      </c>
      <c r="J189" s="2">
        <v>5</v>
      </c>
      <c r="K189" s="5">
        <v>45595</v>
      </c>
    </row>
    <row r="190" spans="1:11" x14ac:dyDescent="0.35">
      <c r="A190" s="4" t="s">
        <v>233</v>
      </c>
      <c r="B190" s="2" t="s">
        <v>38</v>
      </c>
      <c r="C190" s="2">
        <v>1768.38</v>
      </c>
      <c r="D190" s="2" t="s">
        <v>39</v>
      </c>
      <c r="E190" s="2" t="s">
        <v>47</v>
      </c>
      <c r="F190" s="2" t="s">
        <v>22</v>
      </c>
      <c r="G190" s="2" t="s">
        <v>33</v>
      </c>
      <c r="H190" s="2">
        <v>59</v>
      </c>
      <c r="I190" s="2" t="s">
        <v>17</v>
      </c>
      <c r="J190" s="2">
        <v>1</v>
      </c>
      <c r="K190" s="5">
        <v>45670</v>
      </c>
    </row>
    <row r="191" spans="1:11" x14ac:dyDescent="0.35">
      <c r="A191" s="4" t="s">
        <v>234</v>
      </c>
      <c r="B191" s="2" t="s">
        <v>12</v>
      </c>
      <c r="C191" s="2">
        <v>1200.8</v>
      </c>
      <c r="D191" s="2" t="s">
        <v>36</v>
      </c>
      <c r="E191" s="2" t="s">
        <v>226</v>
      </c>
      <c r="F191" s="2" t="s">
        <v>15</v>
      </c>
      <c r="G191" s="2" t="s">
        <v>23</v>
      </c>
      <c r="H191" s="2">
        <v>48</v>
      </c>
      <c r="I191" s="2" t="s">
        <v>17</v>
      </c>
      <c r="J191" s="2">
        <v>3</v>
      </c>
      <c r="K191" s="5">
        <v>45129</v>
      </c>
    </row>
    <row r="192" spans="1:11" x14ac:dyDescent="0.35">
      <c r="A192" s="4" t="s">
        <v>235</v>
      </c>
      <c r="B192" s="2" t="s">
        <v>12</v>
      </c>
      <c r="C192" s="2">
        <v>600.23</v>
      </c>
      <c r="D192" s="2" t="s">
        <v>43</v>
      </c>
      <c r="E192" s="2" t="s">
        <v>47</v>
      </c>
      <c r="F192" s="2" t="s">
        <v>15</v>
      </c>
      <c r="G192" s="2" t="s">
        <v>16</v>
      </c>
      <c r="H192" s="2">
        <v>54</v>
      </c>
      <c r="I192" s="2" t="s">
        <v>17</v>
      </c>
      <c r="J192" s="2">
        <v>5</v>
      </c>
      <c r="K192" s="5">
        <v>45293</v>
      </c>
    </row>
    <row r="193" spans="1:11" x14ac:dyDescent="0.35">
      <c r="A193" s="4" t="s">
        <v>236</v>
      </c>
      <c r="B193" s="2" t="s">
        <v>65</v>
      </c>
      <c r="C193" s="2">
        <v>1145.32</v>
      </c>
      <c r="D193" s="2" t="s">
        <v>27</v>
      </c>
      <c r="E193" s="2" t="s">
        <v>226</v>
      </c>
      <c r="F193" s="2" t="s">
        <v>22</v>
      </c>
      <c r="G193" s="2" t="s">
        <v>28</v>
      </c>
      <c r="H193" s="2">
        <v>32</v>
      </c>
      <c r="I193" s="2" t="s">
        <v>17</v>
      </c>
      <c r="J193" s="2">
        <v>3</v>
      </c>
      <c r="K193" s="5">
        <v>45305</v>
      </c>
    </row>
    <row r="194" spans="1:11" x14ac:dyDescent="0.35">
      <c r="A194" s="4" t="s">
        <v>237</v>
      </c>
      <c r="B194" s="2" t="s">
        <v>19</v>
      </c>
      <c r="C194" s="2">
        <v>289.37</v>
      </c>
      <c r="D194" s="2" t="s">
        <v>43</v>
      </c>
      <c r="E194" s="2" t="s">
        <v>21</v>
      </c>
      <c r="F194" s="2" t="s">
        <v>15</v>
      </c>
      <c r="G194" s="2" t="s">
        <v>23</v>
      </c>
      <c r="H194" s="2">
        <v>21</v>
      </c>
      <c r="I194" s="2" t="s">
        <v>24</v>
      </c>
      <c r="J194" s="2">
        <v>4</v>
      </c>
      <c r="K194" s="5">
        <v>45416</v>
      </c>
    </row>
    <row r="195" spans="1:11" x14ac:dyDescent="0.35">
      <c r="A195" s="4" t="s">
        <v>238</v>
      </c>
      <c r="B195" s="2" t="s">
        <v>38</v>
      </c>
      <c r="C195" s="2">
        <v>1634.89</v>
      </c>
      <c r="D195" s="2" t="s">
        <v>27</v>
      </c>
      <c r="E195" s="2" t="s">
        <v>47</v>
      </c>
      <c r="F195" s="2" t="s">
        <v>22</v>
      </c>
      <c r="G195" s="2" t="s">
        <v>33</v>
      </c>
      <c r="H195" s="2">
        <v>33</v>
      </c>
      <c r="I195" s="2" t="s">
        <v>24</v>
      </c>
      <c r="J195" s="2">
        <v>3</v>
      </c>
      <c r="K195" s="5">
        <v>45500</v>
      </c>
    </row>
    <row r="196" spans="1:11" x14ac:dyDescent="0.35">
      <c r="A196" s="4" t="s">
        <v>239</v>
      </c>
      <c r="B196" s="2" t="s">
        <v>38</v>
      </c>
      <c r="C196" s="2">
        <v>928.78</v>
      </c>
      <c r="D196" s="2" t="s">
        <v>31</v>
      </c>
      <c r="E196" s="2" t="s">
        <v>47</v>
      </c>
      <c r="F196" s="2" t="s">
        <v>15</v>
      </c>
      <c r="G196" s="2" t="s">
        <v>16</v>
      </c>
      <c r="H196" s="2">
        <v>41</v>
      </c>
      <c r="I196" s="2" t="s">
        <v>17</v>
      </c>
      <c r="J196" s="2">
        <v>4</v>
      </c>
      <c r="K196" s="5">
        <v>45761</v>
      </c>
    </row>
    <row r="197" spans="1:11" x14ac:dyDescent="0.35">
      <c r="A197" s="4" t="s">
        <v>240</v>
      </c>
      <c r="B197" s="2" t="s">
        <v>38</v>
      </c>
      <c r="C197" s="2">
        <v>1619.93</v>
      </c>
      <c r="D197" s="2" t="s">
        <v>43</v>
      </c>
      <c r="E197" s="2" t="s">
        <v>47</v>
      </c>
      <c r="F197" s="2" t="s">
        <v>15</v>
      </c>
      <c r="G197" s="2" t="s">
        <v>23</v>
      </c>
      <c r="H197" s="2">
        <v>54</v>
      </c>
      <c r="I197" s="2" t="s">
        <v>17</v>
      </c>
      <c r="J197" s="2">
        <v>5</v>
      </c>
      <c r="K197" s="5">
        <v>45747</v>
      </c>
    </row>
    <row r="198" spans="1:11" x14ac:dyDescent="0.35">
      <c r="A198" s="4" t="s">
        <v>241</v>
      </c>
      <c r="B198" s="2" t="s">
        <v>26</v>
      </c>
      <c r="C198" s="2">
        <v>1773.45</v>
      </c>
      <c r="D198" s="2" t="s">
        <v>49</v>
      </c>
      <c r="E198" s="2" t="s">
        <v>21</v>
      </c>
      <c r="F198" s="2" t="s">
        <v>50</v>
      </c>
      <c r="G198" s="2" t="s">
        <v>28</v>
      </c>
      <c r="H198" s="2">
        <v>20</v>
      </c>
      <c r="I198" s="2" t="s">
        <v>17</v>
      </c>
      <c r="J198" s="2">
        <v>1</v>
      </c>
      <c r="K198" s="5">
        <v>45430</v>
      </c>
    </row>
    <row r="199" spans="1:11" x14ac:dyDescent="0.35">
      <c r="A199" s="4" t="s">
        <v>242</v>
      </c>
      <c r="B199" s="2" t="s">
        <v>30</v>
      </c>
      <c r="C199" s="2">
        <v>763.41</v>
      </c>
      <c r="D199" s="2" t="s">
        <v>20</v>
      </c>
      <c r="E199" s="2" t="s">
        <v>226</v>
      </c>
      <c r="F199" s="2" t="s">
        <v>22</v>
      </c>
      <c r="G199" s="2" t="s">
        <v>23</v>
      </c>
      <c r="H199" s="2">
        <v>31</v>
      </c>
      <c r="I199" s="2" t="s">
        <v>24</v>
      </c>
      <c r="J199" s="2">
        <v>1</v>
      </c>
      <c r="K199" s="5">
        <v>45414</v>
      </c>
    </row>
    <row r="200" spans="1:11" x14ac:dyDescent="0.35">
      <c r="A200" s="4" t="s">
        <v>243</v>
      </c>
      <c r="B200" s="2" t="s">
        <v>12</v>
      </c>
      <c r="C200" s="2">
        <v>57.98</v>
      </c>
      <c r="D200" s="2" t="s">
        <v>45</v>
      </c>
      <c r="E200" s="2" t="s">
        <v>47</v>
      </c>
      <c r="F200" s="2" t="s">
        <v>15</v>
      </c>
      <c r="G200" s="2" t="s">
        <v>16</v>
      </c>
      <c r="H200" s="2">
        <v>24</v>
      </c>
      <c r="I200" s="2" t="s">
        <v>24</v>
      </c>
      <c r="J200" s="2">
        <v>2</v>
      </c>
      <c r="K200" s="5">
        <v>45290</v>
      </c>
    </row>
    <row r="201" spans="1:11" x14ac:dyDescent="0.35">
      <c r="A201" s="4" t="s">
        <v>244</v>
      </c>
      <c r="B201" s="2" t="s">
        <v>12</v>
      </c>
      <c r="C201" s="2">
        <v>1176.4000000000001</v>
      </c>
      <c r="D201" s="2" t="s">
        <v>49</v>
      </c>
      <c r="E201" s="2" t="s">
        <v>92</v>
      </c>
      <c r="F201" s="2" t="s">
        <v>50</v>
      </c>
      <c r="G201" s="2" t="s">
        <v>33</v>
      </c>
      <c r="H201" s="2">
        <v>52</v>
      </c>
      <c r="I201" s="2" t="s">
        <v>24</v>
      </c>
      <c r="J201" s="2">
        <v>1</v>
      </c>
      <c r="K201" s="5">
        <v>45720</v>
      </c>
    </row>
    <row r="202" spans="1:11" x14ac:dyDescent="0.35">
      <c r="A202" s="4" t="s">
        <v>245</v>
      </c>
      <c r="B202" s="2" t="s">
        <v>38</v>
      </c>
      <c r="C202" s="2">
        <v>1367.69</v>
      </c>
      <c r="D202" s="2" t="s">
        <v>52</v>
      </c>
      <c r="E202" s="2" t="s">
        <v>226</v>
      </c>
      <c r="F202" s="2" t="s">
        <v>50</v>
      </c>
      <c r="G202" s="2" t="s">
        <v>23</v>
      </c>
      <c r="H202" s="2">
        <v>21</v>
      </c>
      <c r="I202" s="2" t="s">
        <v>24</v>
      </c>
      <c r="J202" s="2">
        <v>3</v>
      </c>
      <c r="K202" s="5">
        <v>45320</v>
      </c>
    </row>
    <row r="203" spans="1:11" x14ac:dyDescent="0.35">
      <c r="A203" s="4" t="s">
        <v>246</v>
      </c>
      <c r="B203" s="2" t="s">
        <v>42</v>
      </c>
      <c r="C203" s="2">
        <v>602.58000000000004</v>
      </c>
      <c r="D203" s="2" t="s">
        <v>52</v>
      </c>
      <c r="E203" s="2" t="s">
        <v>226</v>
      </c>
      <c r="F203" s="2" t="s">
        <v>50</v>
      </c>
      <c r="G203" s="2" t="s">
        <v>28</v>
      </c>
      <c r="H203" s="2">
        <v>51</v>
      </c>
      <c r="I203" s="2" t="s">
        <v>17</v>
      </c>
      <c r="J203" s="2">
        <v>1</v>
      </c>
      <c r="K203" s="5">
        <v>45640</v>
      </c>
    </row>
    <row r="204" spans="1:11" x14ac:dyDescent="0.35">
      <c r="A204" s="4" t="s">
        <v>247</v>
      </c>
      <c r="B204" s="2" t="s">
        <v>42</v>
      </c>
      <c r="C204" s="2">
        <v>1030.29</v>
      </c>
      <c r="D204" s="2" t="s">
        <v>39</v>
      </c>
      <c r="E204" s="2" t="s">
        <v>226</v>
      </c>
      <c r="F204" s="2" t="s">
        <v>22</v>
      </c>
      <c r="G204" s="2" t="s">
        <v>23</v>
      </c>
      <c r="H204" s="2">
        <v>58</v>
      </c>
      <c r="I204" s="2" t="s">
        <v>24</v>
      </c>
      <c r="J204" s="2">
        <v>5</v>
      </c>
      <c r="K204" s="5">
        <v>45542</v>
      </c>
    </row>
    <row r="205" spans="1:11" x14ac:dyDescent="0.35">
      <c r="A205" s="4" t="s">
        <v>248</v>
      </c>
      <c r="B205" s="2" t="s">
        <v>12</v>
      </c>
      <c r="C205" s="2">
        <v>618.14</v>
      </c>
      <c r="D205" s="2" t="s">
        <v>52</v>
      </c>
      <c r="E205" s="2" t="s">
        <v>32</v>
      </c>
      <c r="F205" s="2" t="s">
        <v>50</v>
      </c>
      <c r="G205" s="2" t="s">
        <v>23</v>
      </c>
      <c r="H205" s="2">
        <v>40</v>
      </c>
      <c r="I205" s="2" t="s">
        <v>17</v>
      </c>
      <c r="J205" s="2">
        <v>3</v>
      </c>
      <c r="K205" s="5">
        <v>45566</v>
      </c>
    </row>
    <row r="206" spans="1:11" x14ac:dyDescent="0.35">
      <c r="A206" s="4" t="s">
        <v>249</v>
      </c>
      <c r="B206" s="2" t="s">
        <v>55</v>
      </c>
      <c r="C206" s="2">
        <v>1069.44</v>
      </c>
      <c r="D206" s="2" t="s">
        <v>49</v>
      </c>
      <c r="E206" s="2" t="s">
        <v>47</v>
      </c>
      <c r="F206" s="2" t="s">
        <v>50</v>
      </c>
      <c r="G206" s="2" t="s">
        <v>16</v>
      </c>
      <c r="H206" s="2">
        <v>47</v>
      </c>
      <c r="I206" s="2" t="s">
        <v>24</v>
      </c>
      <c r="J206" s="2">
        <v>1</v>
      </c>
      <c r="K206" s="5">
        <v>45633</v>
      </c>
    </row>
    <row r="207" spans="1:11" x14ac:dyDescent="0.35">
      <c r="A207" s="4" t="s">
        <v>250</v>
      </c>
      <c r="B207" s="2" t="s">
        <v>30</v>
      </c>
      <c r="C207" s="2">
        <v>613.92999999999995</v>
      </c>
      <c r="D207" s="2" t="s">
        <v>52</v>
      </c>
      <c r="E207" s="2" t="s">
        <v>92</v>
      </c>
      <c r="F207" s="2" t="s">
        <v>50</v>
      </c>
      <c r="G207" s="2" t="s">
        <v>28</v>
      </c>
      <c r="H207" s="2">
        <v>48</v>
      </c>
      <c r="I207" s="2" t="s">
        <v>24</v>
      </c>
      <c r="J207" s="2">
        <v>3</v>
      </c>
      <c r="K207" s="5">
        <v>45308</v>
      </c>
    </row>
    <row r="208" spans="1:11" x14ac:dyDescent="0.35">
      <c r="A208" s="4" t="s">
        <v>251</v>
      </c>
      <c r="B208" s="2" t="s">
        <v>55</v>
      </c>
      <c r="C208" s="2">
        <v>24.27</v>
      </c>
      <c r="D208" s="2" t="s">
        <v>36</v>
      </c>
      <c r="E208" s="2" t="s">
        <v>92</v>
      </c>
      <c r="F208" s="2" t="s">
        <v>15</v>
      </c>
      <c r="G208" s="2" t="s">
        <v>28</v>
      </c>
      <c r="H208" s="2">
        <v>46</v>
      </c>
      <c r="I208" s="2" t="s">
        <v>24</v>
      </c>
      <c r="J208" s="2">
        <v>4</v>
      </c>
      <c r="K208" s="5">
        <v>45666</v>
      </c>
    </row>
    <row r="209" spans="1:11" x14ac:dyDescent="0.35">
      <c r="A209" s="4" t="s">
        <v>252</v>
      </c>
      <c r="B209" s="2" t="s">
        <v>12</v>
      </c>
      <c r="C209" s="2">
        <v>1745.37</v>
      </c>
      <c r="D209" s="2" t="s">
        <v>43</v>
      </c>
      <c r="E209" s="2" t="s">
        <v>14</v>
      </c>
      <c r="F209" s="2" t="s">
        <v>15</v>
      </c>
      <c r="G209" s="2" t="s">
        <v>16</v>
      </c>
      <c r="H209" s="2">
        <v>43</v>
      </c>
      <c r="I209" s="2" t="s">
        <v>24</v>
      </c>
      <c r="J209" s="2">
        <v>1</v>
      </c>
      <c r="K209" s="5">
        <v>45254</v>
      </c>
    </row>
    <row r="210" spans="1:11" x14ac:dyDescent="0.35">
      <c r="A210" s="4" t="s">
        <v>253</v>
      </c>
      <c r="B210" s="2" t="s">
        <v>38</v>
      </c>
      <c r="C210" s="2">
        <v>1730.52</v>
      </c>
      <c r="D210" s="2" t="s">
        <v>45</v>
      </c>
      <c r="E210" s="2" t="s">
        <v>32</v>
      </c>
      <c r="F210" s="2" t="s">
        <v>15</v>
      </c>
      <c r="G210" s="2" t="s">
        <v>16</v>
      </c>
      <c r="H210" s="2">
        <v>25</v>
      </c>
      <c r="I210" s="2" t="s">
        <v>24</v>
      </c>
      <c r="J210" s="2">
        <v>1</v>
      </c>
      <c r="K210" s="5">
        <v>45721</v>
      </c>
    </row>
    <row r="211" spans="1:11" x14ac:dyDescent="0.35">
      <c r="A211" s="4" t="s">
        <v>254</v>
      </c>
      <c r="B211" s="2" t="s">
        <v>30</v>
      </c>
      <c r="C211" s="2">
        <v>1125.05</v>
      </c>
      <c r="D211" s="2" t="s">
        <v>43</v>
      </c>
      <c r="E211" s="2" t="s">
        <v>92</v>
      </c>
      <c r="F211" s="2" t="s">
        <v>15</v>
      </c>
      <c r="G211" s="2" t="s">
        <v>33</v>
      </c>
      <c r="H211" s="2">
        <v>57</v>
      </c>
      <c r="I211" s="2" t="s">
        <v>24</v>
      </c>
      <c r="J211" s="2">
        <v>2</v>
      </c>
      <c r="K211" s="5">
        <v>45196</v>
      </c>
    </row>
    <row r="212" spans="1:11" x14ac:dyDescent="0.35">
      <c r="A212" s="4" t="s">
        <v>255</v>
      </c>
      <c r="B212" s="2" t="s">
        <v>38</v>
      </c>
      <c r="C212" s="2">
        <v>1704.53</v>
      </c>
      <c r="D212" s="2" t="s">
        <v>49</v>
      </c>
      <c r="E212" s="2" t="s">
        <v>14</v>
      </c>
      <c r="F212" s="2" t="s">
        <v>50</v>
      </c>
      <c r="G212" s="2" t="s">
        <v>28</v>
      </c>
      <c r="H212" s="2">
        <v>47</v>
      </c>
      <c r="I212" s="2" t="s">
        <v>24</v>
      </c>
      <c r="J212" s="2">
        <v>1</v>
      </c>
      <c r="K212" s="5">
        <v>45734</v>
      </c>
    </row>
    <row r="213" spans="1:11" x14ac:dyDescent="0.35">
      <c r="A213" s="4" t="s">
        <v>256</v>
      </c>
      <c r="B213" s="2" t="s">
        <v>65</v>
      </c>
      <c r="C213" s="2">
        <v>129.71</v>
      </c>
      <c r="D213" s="2" t="s">
        <v>49</v>
      </c>
      <c r="E213" s="2" t="s">
        <v>32</v>
      </c>
      <c r="F213" s="2" t="s">
        <v>50</v>
      </c>
      <c r="G213" s="2" t="s">
        <v>16</v>
      </c>
      <c r="H213" s="2">
        <v>26</v>
      </c>
      <c r="I213" s="2" t="s">
        <v>17</v>
      </c>
      <c r="J213" s="2">
        <v>3</v>
      </c>
      <c r="K213" s="5">
        <v>45423</v>
      </c>
    </row>
    <row r="214" spans="1:11" x14ac:dyDescent="0.35">
      <c r="A214" s="4" t="s">
        <v>257</v>
      </c>
      <c r="B214" s="2" t="s">
        <v>26</v>
      </c>
      <c r="C214" s="2">
        <v>1232.9000000000001</v>
      </c>
      <c r="D214" s="2" t="s">
        <v>49</v>
      </c>
      <c r="E214" s="2" t="s">
        <v>32</v>
      </c>
      <c r="F214" s="2" t="s">
        <v>50</v>
      </c>
      <c r="G214" s="2" t="s">
        <v>33</v>
      </c>
      <c r="H214" s="2">
        <v>26</v>
      </c>
      <c r="I214" s="2" t="s">
        <v>24</v>
      </c>
      <c r="J214" s="2">
        <v>1</v>
      </c>
      <c r="K214" s="5">
        <v>45627</v>
      </c>
    </row>
    <row r="215" spans="1:11" x14ac:dyDescent="0.35">
      <c r="A215" s="4" t="s">
        <v>258</v>
      </c>
      <c r="B215" s="2" t="s">
        <v>42</v>
      </c>
      <c r="C215" s="2">
        <v>1594.48</v>
      </c>
      <c r="D215" s="2" t="s">
        <v>36</v>
      </c>
      <c r="E215" s="2" t="s">
        <v>92</v>
      </c>
      <c r="F215" s="2" t="s">
        <v>15</v>
      </c>
      <c r="G215" s="2" t="s">
        <v>16</v>
      </c>
      <c r="H215" s="2">
        <v>34</v>
      </c>
      <c r="I215" s="2" t="s">
        <v>17</v>
      </c>
      <c r="J215" s="2">
        <v>4</v>
      </c>
      <c r="K215" s="5">
        <v>45803</v>
      </c>
    </row>
    <row r="216" spans="1:11" x14ac:dyDescent="0.35">
      <c r="A216" s="4" t="s">
        <v>259</v>
      </c>
      <c r="B216" s="2" t="s">
        <v>65</v>
      </c>
      <c r="C216" s="2">
        <v>927.31</v>
      </c>
      <c r="D216" s="2" t="s">
        <v>27</v>
      </c>
      <c r="E216" s="2" t="s">
        <v>47</v>
      </c>
      <c r="F216" s="2" t="s">
        <v>22</v>
      </c>
      <c r="G216" s="2" t="s">
        <v>33</v>
      </c>
      <c r="H216" s="2">
        <v>31</v>
      </c>
      <c r="I216" s="2" t="s">
        <v>17</v>
      </c>
      <c r="J216" s="2">
        <v>1</v>
      </c>
      <c r="K216" s="5">
        <v>45765</v>
      </c>
    </row>
    <row r="217" spans="1:11" x14ac:dyDescent="0.35">
      <c r="A217" s="4" t="s">
        <v>260</v>
      </c>
      <c r="B217" s="2" t="s">
        <v>35</v>
      </c>
      <c r="C217" s="2">
        <v>520.41</v>
      </c>
      <c r="D217" s="2" t="s">
        <v>45</v>
      </c>
      <c r="E217" s="2" t="s">
        <v>47</v>
      </c>
      <c r="F217" s="2" t="s">
        <v>15</v>
      </c>
      <c r="G217" s="2" t="s">
        <v>33</v>
      </c>
      <c r="H217" s="2">
        <v>31</v>
      </c>
      <c r="I217" s="2" t="s">
        <v>24</v>
      </c>
      <c r="J217" s="2">
        <v>2</v>
      </c>
      <c r="K217" s="5">
        <v>45701</v>
      </c>
    </row>
    <row r="218" spans="1:11" x14ac:dyDescent="0.35">
      <c r="A218" s="4" t="s">
        <v>261</v>
      </c>
      <c r="B218" s="2" t="s">
        <v>26</v>
      </c>
      <c r="C218" s="2">
        <v>499.98</v>
      </c>
      <c r="D218" s="2" t="s">
        <v>39</v>
      </c>
      <c r="E218" s="2" t="s">
        <v>32</v>
      </c>
      <c r="F218" s="2" t="s">
        <v>22</v>
      </c>
      <c r="G218" s="2" t="s">
        <v>23</v>
      </c>
      <c r="H218" s="2">
        <v>25</v>
      </c>
      <c r="I218" s="2" t="s">
        <v>17</v>
      </c>
      <c r="J218" s="2">
        <v>1</v>
      </c>
      <c r="K218" s="5">
        <v>45575</v>
      </c>
    </row>
    <row r="219" spans="1:11" x14ac:dyDescent="0.35">
      <c r="A219" s="4" t="s">
        <v>262</v>
      </c>
      <c r="B219" s="2" t="s">
        <v>12</v>
      </c>
      <c r="C219" s="2">
        <v>1170.07</v>
      </c>
      <c r="D219" s="2" t="s">
        <v>20</v>
      </c>
      <c r="E219" s="2" t="s">
        <v>92</v>
      </c>
      <c r="F219" s="2" t="s">
        <v>22</v>
      </c>
      <c r="G219" s="2" t="s">
        <v>16</v>
      </c>
      <c r="H219" s="2">
        <v>41</v>
      </c>
      <c r="I219" s="2" t="s">
        <v>24</v>
      </c>
      <c r="J219" s="2">
        <v>1</v>
      </c>
      <c r="K219" s="5">
        <v>45262</v>
      </c>
    </row>
    <row r="220" spans="1:11" x14ac:dyDescent="0.35">
      <c r="A220" s="4" t="s">
        <v>263</v>
      </c>
      <c r="B220" s="2" t="s">
        <v>72</v>
      </c>
      <c r="C220" s="2">
        <v>437.98</v>
      </c>
      <c r="D220" s="2" t="s">
        <v>39</v>
      </c>
      <c r="E220" s="2" t="s">
        <v>32</v>
      </c>
      <c r="F220" s="2" t="s">
        <v>22</v>
      </c>
      <c r="G220" s="2" t="s">
        <v>23</v>
      </c>
      <c r="H220" s="2">
        <v>25</v>
      </c>
      <c r="I220" s="2" t="s">
        <v>24</v>
      </c>
      <c r="J220" s="2">
        <v>2</v>
      </c>
      <c r="K220" s="5">
        <v>45653</v>
      </c>
    </row>
    <row r="221" spans="1:11" x14ac:dyDescent="0.35">
      <c r="A221" s="4" t="s">
        <v>264</v>
      </c>
      <c r="B221" s="2" t="s">
        <v>72</v>
      </c>
      <c r="C221" s="2">
        <v>1622.04</v>
      </c>
      <c r="D221" s="2" t="s">
        <v>45</v>
      </c>
      <c r="E221" s="2" t="s">
        <v>47</v>
      </c>
      <c r="F221" s="2" t="s">
        <v>15</v>
      </c>
      <c r="G221" s="2" t="s">
        <v>23</v>
      </c>
      <c r="H221" s="2">
        <v>37</v>
      </c>
      <c r="I221" s="2" t="s">
        <v>24</v>
      </c>
      <c r="J221" s="2">
        <v>5</v>
      </c>
      <c r="K221" s="5">
        <v>45655</v>
      </c>
    </row>
    <row r="222" spans="1:11" x14ac:dyDescent="0.35">
      <c r="A222" s="4" t="s">
        <v>265</v>
      </c>
      <c r="B222" s="2" t="s">
        <v>26</v>
      </c>
      <c r="C222" s="2">
        <v>241</v>
      </c>
      <c r="D222" s="2" t="s">
        <v>43</v>
      </c>
      <c r="E222" s="2" t="s">
        <v>92</v>
      </c>
      <c r="F222" s="2" t="s">
        <v>15</v>
      </c>
      <c r="G222" s="2" t="s">
        <v>16</v>
      </c>
      <c r="H222" s="2">
        <v>37</v>
      </c>
      <c r="I222" s="2" t="s">
        <v>17</v>
      </c>
      <c r="J222" s="2">
        <v>3</v>
      </c>
      <c r="K222" s="5">
        <v>45744</v>
      </c>
    </row>
    <row r="223" spans="1:11" x14ac:dyDescent="0.35">
      <c r="A223" s="4" t="s">
        <v>266</v>
      </c>
      <c r="B223" s="2" t="s">
        <v>35</v>
      </c>
      <c r="C223" s="2">
        <v>1454.08</v>
      </c>
      <c r="D223" s="2" t="s">
        <v>31</v>
      </c>
      <c r="E223" s="2" t="s">
        <v>32</v>
      </c>
      <c r="F223" s="2" t="s">
        <v>15</v>
      </c>
      <c r="G223" s="2" t="s">
        <v>16</v>
      </c>
      <c r="H223" s="2">
        <v>38</v>
      </c>
      <c r="I223" s="2" t="s">
        <v>17</v>
      </c>
      <c r="J223" s="2">
        <v>3</v>
      </c>
      <c r="K223" s="5">
        <v>45159</v>
      </c>
    </row>
    <row r="224" spans="1:11" x14ac:dyDescent="0.35">
      <c r="A224" s="4" t="s">
        <v>267</v>
      </c>
      <c r="B224" s="2" t="s">
        <v>38</v>
      </c>
      <c r="C224" s="2">
        <v>1025.1199999999999</v>
      </c>
      <c r="D224" s="2" t="s">
        <v>31</v>
      </c>
      <c r="E224" s="2" t="s">
        <v>47</v>
      </c>
      <c r="F224" s="2" t="s">
        <v>15</v>
      </c>
      <c r="G224" s="2" t="s">
        <v>33</v>
      </c>
      <c r="H224" s="2">
        <v>34</v>
      </c>
      <c r="I224" s="2" t="s">
        <v>17</v>
      </c>
      <c r="J224" s="2">
        <v>3</v>
      </c>
      <c r="K224" s="5">
        <v>45225</v>
      </c>
    </row>
    <row r="225" spans="1:11" x14ac:dyDescent="0.35">
      <c r="A225" s="4" t="s">
        <v>268</v>
      </c>
      <c r="B225" s="2" t="s">
        <v>72</v>
      </c>
      <c r="C225" s="2">
        <v>225.82</v>
      </c>
      <c r="D225" s="2" t="s">
        <v>20</v>
      </c>
      <c r="E225" s="2" t="s">
        <v>21</v>
      </c>
      <c r="F225" s="2" t="s">
        <v>22</v>
      </c>
      <c r="G225" s="2" t="s">
        <v>33</v>
      </c>
      <c r="H225" s="2">
        <v>33</v>
      </c>
      <c r="I225" s="2" t="s">
        <v>17</v>
      </c>
      <c r="J225" s="2">
        <v>3</v>
      </c>
      <c r="K225" s="5">
        <v>45769</v>
      </c>
    </row>
    <row r="226" spans="1:11" x14ac:dyDescent="0.35">
      <c r="A226" s="4" t="s">
        <v>269</v>
      </c>
      <c r="B226" s="2" t="s">
        <v>30</v>
      </c>
      <c r="C226" s="2">
        <v>34.6</v>
      </c>
      <c r="D226" s="2" t="s">
        <v>39</v>
      </c>
      <c r="E226" s="2" t="s">
        <v>32</v>
      </c>
      <c r="F226" s="2" t="s">
        <v>22</v>
      </c>
      <c r="G226" s="2" t="s">
        <v>16</v>
      </c>
      <c r="H226" s="2">
        <v>20</v>
      </c>
      <c r="I226" s="2" t="s">
        <v>24</v>
      </c>
      <c r="J226" s="2">
        <v>2</v>
      </c>
      <c r="K226" s="5">
        <v>45249</v>
      </c>
    </row>
    <row r="227" spans="1:11" x14ac:dyDescent="0.35">
      <c r="A227" s="4" t="s">
        <v>270</v>
      </c>
      <c r="B227" s="2" t="s">
        <v>26</v>
      </c>
      <c r="C227" s="2">
        <v>220.45</v>
      </c>
      <c r="D227" s="2" t="s">
        <v>45</v>
      </c>
      <c r="E227" s="2" t="s">
        <v>32</v>
      </c>
      <c r="F227" s="2" t="s">
        <v>15</v>
      </c>
      <c r="G227" s="2" t="s">
        <v>23</v>
      </c>
      <c r="H227" s="2">
        <v>54</v>
      </c>
      <c r="I227" s="2" t="s">
        <v>17</v>
      </c>
      <c r="J227" s="2">
        <v>5</v>
      </c>
      <c r="K227" s="5">
        <v>45349</v>
      </c>
    </row>
    <row r="228" spans="1:11" x14ac:dyDescent="0.35">
      <c r="A228" s="4" t="s">
        <v>271</v>
      </c>
      <c r="B228" s="2" t="s">
        <v>65</v>
      </c>
      <c r="C228" s="2">
        <v>1200.43</v>
      </c>
      <c r="D228" s="2" t="s">
        <v>13</v>
      </c>
      <c r="E228" s="2" t="s">
        <v>21</v>
      </c>
      <c r="F228" s="2" t="s">
        <v>15</v>
      </c>
      <c r="G228" s="2" t="s">
        <v>28</v>
      </c>
      <c r="H228" s="2">
        <v>47</v>
      </c>
      <c r="I228" s="2" t="s">
        <v>17</v>
      </c>
      <c r="J228" s="2">
        <v>5</v>
      </c>
      <c r="K228" s="5">
        <v>45414</v>
      </c>
    </row>
    <row r="229" spans="1:11" x14ac:dyDescent="0.35">
      <c r="A229" s="4" t="s">
        <v>272</v>
      </c>
      <c r="B229" s="2" t="s">
        <v>30</v>
      </c>
      <c r="C229" s="2">
        <v>1322.98</v>
      </c>
      <c r="D229" s="2" t="s">
        <v>39</v>
      </c>
      <c r="E229" s="2" t="s">
        <v>32</v>
      </c>
      <c r="F229" s="2" t="s">
        <v>22</v>
      </c>
      <c r="G229" s="2" t="s">
        <v>23</v>
      </c>
      <c r="H229" s="2">
        <v>56</v>
      </c>
      <c r="I229" s="2" t="s">
        <v>17</v>
      </c>
      <c r="J229" s="2">
        <v>1</v>
      </c>
      <c r="K229" s="5">
        <v>45691</v>
      </c>
    </row>
    <row r="230" spans="1:11" x14ac:dyDescent="0.35">
      <c r="A230" s="4" t="s">
        <v>273</v>
      </c>
      <c r="B230" s="2" t="s">
        <v>12</v>
      </c>
      <c r="C230" s="2">
        <v>1650.89</v>
      </c>
      <c r="D230" s="2" t="s">
        <v>36</v>
      </c>
      <c r="E230" s="2" t="s">
        <v>21</v>
      </c>
      <c r="F230" s="2" t="s">
        <v>15</v>
      </c>
      <c r="G230" s="2" t="s">
        <v>33</v>
      </c>
      <c r="H230" s="2">
        <v>21</v>
      </c>
      <c r="I230" s="2" t="s">
        <v>24</v>
      </c>
      <c r="J230" s="2">
        <v>2</v>
      </c>
      <c r="K230" s="5">
        <v>45480</v>
      </c>
    </row>
    <row r="231" spans="1:11" x14ac:dyDescent="0.35">
      <c r="A231" s="4" t="s">
        <v>274</v>
      </c>
      <c r="B231" s="2" t="s">
        <v>35</v>
      </c>
      <c r="C231" s="2">
        <v>1796.58</v>
      </c>
      <c r="D231" s="2" t="s">
        <v>13</v>
      </c>
      <c r="E231" s="2" t="s">
        <v>226</v>
      </c>
      <c r="F231" s="2" t="s">
        <v>15</v>
      </c>
      <c r="G231" s="2" t="s">
        <v>23</v>
      </c>
      <c r="H231" s="2">
        <v>25</v>
      </c>
      <c r="I231" s="2" t="s">
        <v>24</v>
      </c>
      <c r="J231" s="2">
        <v>5</v>
      </c>
      <c r="K231" s="5">
        <v>45172</v>
      </c>
    </row>
    <row r="232" spans="1:11" x14ac:dyDescent="0.35">
      <c r="A232" s="4" t="s">
        <v>275</v>
      </c>
      <c r="B232" s="2" t="s">
        <v>26</v>
      </c>
      <c r="C232" s="2">
        <v>1635.85</v>
      </c>
      <c r="D232" s="2" t="s">
        <v>20</v>
      </c>
      <c r="E232" s="2" t="s">
        <v>226</v>
      </c>
      <c r="F232" s="2" t="s">
        <v>22</v>
      </c>
      <c r="G232" s="2" t="s">
        <v>23</v>
      </c>
      <c r="H232" s="2">
        <v>45</v>
      </c>
      <c r="I232" s="2" t="s">
        <v>24</v>
      </c>
      <c r="J232" s="2">
        <v>2</v>
      </c>
      <c r="K232" s="5">
        <v>45269</v>
      </c>
    </row>
    <row r="233" spans="1:11" x14ac:dyDescent="0.35">
      <c r="A233" s="4" t="s">
        <v>276</v>
      </c>
      <c r="B233" s="2" t="s">
        <v>19</v>
      </c>
      <c r="C233" s="2">
        <v>93.7</v>
      </c>
      <c r="D233" s="2" t="s">
        <v>49</v>
      </c>
      <c r="E233" s="2" t="s">
        <v>47</v>
      </c>
      <c r="F233" s="2" t="s">
        <v>50</v>
      </c>
      <c r="G233" s="2" t="s">
        <v>23</v>
      </c>
      <c r="H233" s="2">
        <v>41</v>
      </c>
      <c r="I233" s="2" t="s">
        <v>24</v>
      </c>
      <c r="J233" s="2">
        <v>5</v>
      </c>
      <c r="K233" s="5">
        <v>45656</v>
      </c>
    </row>
    <row r="234" spans="1:11" x14ac:dyDescent="0.35">
      <c r="A234" s="4" t="s">
        <v>277</v>
      </c>
      <c r="B234" s="2" t="s">
        <v>26</v>
      </c>
      <c r="C234" s="2">
        <v>1058.56</v>
      </c>
      <c r="D234" s="2" t="s">
        <v>13</v>
      </c>
      <c r="E234" s="2" t="s">
        <v>226</v>
      </c>
      <c r="F234" s="2" t="s">
        <v>15</v>
      </c>
      <c r="G234" s="2" t="s">
        <v>23</v>
      </c>
      <c r="H234" s="2">
        <v>52</v>
      </c>
      <c r="I234" s="2" t="s">
        <v>24</v>
      </c>
      <c r="J234" s="2">
        <v>4</v>
      </c>
      <c r="K234" s="5">
        <v>45255</v>
      </c>
    </row>
    <row r="235" spans="1:11" x14ac:dyDescent="0.35">
      <c r="A235" s="4" t="s">
        <v>278</v>
      </c>
      <c r="B235" s="2" t="s">
        <v>12</v>
      </c>
      <c r="C235" s="2">
        <v>1179.75</v>
      </c>
      <c r="D235" s="2" t="s">
        <v>13</v>
      </c>
      <c r="E235" s="2" t="s">
        <v>226</v>
      </c>
      <c r="F235" s="2" t="s">
        <v>15</v>
      </c>
      <c r="G235" s="2" t="s">
        <v>33</v>
      </c>
      <c r="H235" s="2">
        <v>26</v>
      </c>
      <c r="I235" s="2" t="s">
        <v>17</v>
      </c>
      <c r="J235" s="2">
        <v>5</v>
      </c>
      <c r="K235" s="5">
        <v>45468</v>
      </c>
    </row>
    <row r="236" spans="1:11" x14ac:dyDescent="0.35">
      <c r="A236" s="4" t="s">
        <v>279</v>
      </c>
      <c r="B236" s="2" t="s">
        <v>72</v>
      </c>
      <c r="C236" s="2">
        <v>1787.08</v>
      </c>
      <c r="D236" s="2" t="s">
        <v>49</v>
      </c>
      <c r="E236" s="2" t="s">
        <v>226</v>
      </c>
      <c r="F236" s="2" t="s">
        <v>50</v>
      </c>
      <c r="G236" s="2" t="s">
        <v>16</v>
      </c>
      <c r="H236" s="2">
        <v>31</v>
      </c>
      <c r="I236" s="2" t="s">
        <v>24</v>
      </c>
      <c r="J236" s="2">
        <v>2</v>
      </c>
      <c r="K236" s="5">
        <v>45188</v>
      </c>
    </row>
    <row r="237" spans="1:11" x14ac:dyDescent="0.35">
      <c r="A237" s="4" t="s">
        <v>280</v>
      </c>
      <c r="B237" s="2" t="s">
        <v>65</v>
      </c>
      <c r="C237" s="2">
        <v>542.55999999999995</v>
      </c>
      <c r="D237" s="2" t="s">
        <v>49</v>
      </c>
      <c r="E237" s="2" t="s">
        <v>226</v>
      </c>
      <c r="F237" s="2" t="s">
        <v>50</v>
      </c>
      <c r="G237" s="2" t="s">
        <v>16</v>
      </c>
      <c r="H237" s="2">
        <v>48</v>
      </c>
      <c r="I237" s="2" t="s">
        <v>24</v>
      </c>
      <c r="J237" s="2">
        <v>3</v>
      </c>
      <c r="K237" s="5">
        <v>45518</v>
      </c>
    </row>
    <row r="238" spans="1:11" x14ac:dyDescent="0.35">
      <c r="A238" s="4" t="s">
        <v>281</v>
      </c>
      <c r="B238" s="2" t="s">
        <v>65</v>
      </c>
      <c r="C238" s="2">
        <v>63.28</v>
      </c>
      <c r="D238" s="2" t="s">
        <v>45</v>
      </c>
      <c r="E238" s="2" t="s">
        <v>21</v>
      </c>
      <c r="F238" s="2" t="s">
        <v>15</v>
      </c>
      <c r="G238" s="2" t="s">
        <v>33</v>
      </c>
      <c r="H238" s="2">
        <v>24</v>
      </c>
      <c r="I238" s="2" t="s">
        <v>24</v>
      </c>
      <c r="J238" s="2">
        <v>1</v>
      </c>
      <c r="K238" s="5">
        <v>45309</v>
      </c>
    </row>
    <row r="239" spans="1:11" x14ac:dyDescent="0.35">
      <c r="A239" s="4" t="s">
        <v>282</v>
      </c>
      <c r="B239" s="2" t="s">
        <v>65</v>
      </c>
      <c r="C239" s="2">
        <v>1827.23</v>
      </c>
      <c r="D239" s="2" t="s">
        <v>13</v>
      </c>
      <c r="E239" s="2" t="s">
        <v>21</v>
      </c>
      <c r="F239" s="2" t="s">
        <v>15</v>
      </c>
      <c r="G239" s="2" t="s">
        <v>23</v>
      </c>
      <c r="H239" s="2">
        <v>52</v>
      </c>
      <c r="I239" s="2" t="s">
        <v>24</v>
      </c>
      <c r="J239" s="2">
        <v>5</v>
      </c>
      <c r="K239" s="5">
        <v>45500</v>
      </c>
    </row>
    <row r="240" spans="1:11" x14ac:dyDescent="0.35">
      <c r="A240" s="4" t="s">
        <v>283</v>
      </c>
      <c r="B240" s="2" t="s">
        <v>30</v>
      </c>
      <c r="C240" s="2">
        <v>1092.1600000000001</v>
      </c>
      <c r="D240" s="2" t="s">
        <v>31</v>
      </c>
      <c r="E240" s="2" t="s">
        <v>21</v>
      </c>
      <c r="F240" s="2" t="s">
        <v>15</v>
      </c>
      <c r="G240" s="2" t="s">
        <v>28</v>
      </c>
      <c r="H240" s="2">
        <v>43</v>
      </c>
      <c r="I240" s="2" t="s">
        <v>24</v>
      </c>
      <c r="J240" s="2">
        <v>2</v>
      </c>
      <c r="K240" s="5">
        <v>45722</v>
      </c>
    </row>
    <row r="241" spans="1:11" x14ac:dyDescent="0.35">
      <c r="A241" s="4" t="s">
        <v>284</v>
      </c>
      <c r="B241" s="2" t="s">
        <v>38</v>
      </c>
      <c r="C241" s="2">
        <v>1488.21</v>
      </c>
      <c r="D241" s="2" t="s">
        <v>49</v>
      </c>
      <c r="E241" s="2" t="s">
        <v>47</v>
      </c>
      <c r="F241" s="2" t="s">
        <v>50</v>
      </c>
      <c r="G241" s="2" t="s">
        <v>16</v>
      </c>
      <c r="H241" s="2">
        <v>49</v>
      </c>
      <c r="I241" s="2" t="s">
        <v>24</v>
      </c>
      <c r="J241" s="2">
        <v>2</v>
      </c>
      <c r="K241" s="5">
        <v>45279</v>
      </c>
    </row>
    <row r="242" spans="1:11" x14ac:dyDescent="0.35">
      <c r="A242" s="4" t="s">
        <v>285</v>
      </c>
      <c r="B242" s="2" t="s">
        <v>35</v>
      </c>
      <c r="C242" s="2">
        <v>1915.36</v>
      </c>
      <c r="D242" s="2" t="s">
        <v>43</v>
      </c>
      <c r="E242" s="2" t="s">
        <v>226</v>
      </c>
      <c r="F242" s="2" t="s">
        <v>15</v>
      </c>
      <c r="G242" s="2" t="s">
        <v>28</v>
      </c>
      <c r="H242" s="2">
        <v>40</v>
      </c>
      <c r="I242" s="2" t="s">
        <v>24</v>
      </c>
      <c r="J242" s="2">
        <v>3</v>
      </c>
      <c r="K242" s="5">
        <v>45479</v>
      </c>
    </row>
    <row r="243" spans="1:11" x14ac:dyDescent="0.35">
      <c r="A243" s="4" t="s">
        <v>286</v>
      </c>
      <c r="B243" s="2" t="s">
        <v>19</v>
      </c>
      <c r="C243" s="2">
        <v>155.13999999999999</v>
      </c>
      <c r="D243" s="2" t="s">
        <v>45</v>
      </c>
      <c r="E243" s="2" t="s">
        <v>47</v>
      </c>
      <c r="F243" s="2" t="s">
        <v>15</v>
      </c>
      <c r="G243" s="2" t="s">
        <v>23</v>
      </c>
      <c r="H243" s="2">
        <v>41</v>
      </c>
      <c r="I243" s="2" t="s">
        <v>24</v>
      </c>
      <c r="J243" s="2">
        <v>5</v>
      </c>
      <c r="K243" s="5">
        <v>45504</v>
      </c>
    </row>
    <row r="244" spans="1:11" x14ac:dyDescent="0.35">
      <c r="A244" s="4" t="s">
        <v>287</v>
      </c>
      <c r="B244" s="2" t="s">
        <v>65</v>
      </c>
      <c r="C244" s="2">
        <v>1308.57</v>
      </c>
      <c r="D244" s="2" t="s">
        <v>39</v>
      </c>
      <c r="E244" s="2" t="s">
        <v>47</v>
      </c>
      <c r="F244" s="2" t="s">
        <v>22</v>
      </c>
      <c r="G244" s="2" t="s">
        <v>28</v>
      </c>
      <c r="H244" s="2">
        <v>35</v>
      </c>
      <c r="I244" s="2" t="s">
        <v>24</v>
      </c>
      <c r="J244" s="2">
        <v>5</v>
      </c>
      <c r="K244" s="5">
        <v>45162</v>
      </c>
    </row>
    <row r="245" spans="1:11" x14ac:dyDescent="0.35">
      <c r="A245" s="4" t="s">
        <v>288</v>
      </c>
      <c r="B245" s="2" t="s">
        <v>38</v>
      </c>
      <c r="C245" s="2">
        <v>1670.54</v>
      </c>
      <c r="D245" s="2" t="s">
        <v>52</v>
      </c>
      <c r="E245" s="2" t="s">
        <v>21</v>
      </c>
      <c r="F245" s="2" t="s">
        <v>50</v>
      </c>
      <c r="G245" s="2" t="s">
        <v>16</v>
      </c>
      <c r="H245" s="2">
        <v>30</v>
      </c>
      <c r="I245" s="2" t="s">
        <v>24</v>
      </c>
      <c r="J245" s="2">
        <v>5</v>
      </c>
      <c r="K245" s="5">
        <v>45625</v>
      </c>
    </row>
    <row r="246" spans="1:11" x14ac:dyDescent="0.35">
      <c r="A246" s="4" t="s">
        <v>289</v>
      </c>
      <c r="B246" s="2" t="s">
        <v>26</v>
      </c>
      <c r="C246" s="2">
        <v>731.85</v>
      </c>
      <c r="D246" s="2" t="s">
        <v>43</v>
      </c>
      <c r="E246" s="2" t="s">
        <v>21</v>
      </c>
      <c r="F246" s="2" t="s">
        <v>15</v>
      </c>
      <c r="G246" s="2" t="s">
        <v>16</v>
      </c>
      <c r="H246" s="2">
        <v>58</v>
      </c>
      <c r="I246" s="2" t="s">
        <v>24</v>
      </c>
      <c r="J246" s="2">
        <v>4</v>
      </c>
      <c r="K246" s="5">
        <v>45696</v>
      </c>
    </row>
    <row r="247" spans="1:11" x14ac:dyDescent="0.35">
      <c r="A247" s="4" t="s">
        <v>290</v>
      </c>
      <c r="B247" s="2" t="s">
        <v>38</v>
      </c>
      <c r="C247" s="2">
        <v>1073.69</v>
      </c>
      <c r="D247" s="2" t="s">
        <v>52</v>
      </c>
      <c r="E247" s="2" t="s">
        <v>32</v>
      </c>
      <c r="F247" s="2" t="s">
        <v>50</v>
      </c>
      <c r="G247" s="2" t="s">
        <v>33</v>
      </c>
      <c r="H247" s="2">
        <v>55</v>
      </c>
      <c r="I247" s="2" t="s">
        <v>24</v>
      </c>
      <c r="J247" s="2">
        <v>5</v>
      </c>
      <c r="K247" s="5">
        <v>45513</v>
      </c>
    </row>
    <row r="248" spans="1:11" x14ac:dyDescent="0.35">
      <c r="A248" s="4" t="s">
        <v>291</v>
      </c>
      <c r="B248" s="2" t="s">
        <v>35</v>
      </c>
      <c r="C248" s="2">
        <v>1211.82</v>
      </c>
      <c r="D248" s="2" t="s">
        <v>13</v>
      </c>
      <c r="E248" s="2" t="s">
        <v>21</v>
      </c>
      <c r="F248" s="2" t="s">
        <v>15</v>
      </c>
      <c r="G248" s="2" t="s">
        <v>33</v>
      </c>
      <c r="H248" s="2">
        <v>25</v>
      </c>
      <c r="I248" s="2" t="s">
        <v>24</v>
      </c>
      <c r="J248" s="2">
        <v>4</v>
      </c>
      <c r="K248" s="5">
        <v>45587</v>
      </c>
    </row>
    <row r="249" spans="1:11" x14ac:dyDescent="0.35">
      <c r="A249" s="4" t="s">
        <v>292</v>
      </c>
      <c r="B249" s="2" t="s">
        <v>38</v>
      </c>
      <c r="C249" s="2">
        <v>255.58</v>
      </c>
      <c r="D249" s="2" t="s">
        <v>45</v>
      </c>
      <c r="E249" s="2" t="s">
        <v>32</v>
      </c>
      <c r="F249" s="2" t="s">
        <v>15</v>
      </c>
      <c r="G249" s="2" t="s">
        <v>33</v>
      </c>
      <c r="H249" s="2">
        <v>28</v>
      </c>
      <c r="I249" s="2" t="s">
        <v>24</v>
      </c>
      <c r="J249" s="2">
        <v>1</v>
      </c>
      <c r="K249" s="5">
        <v>45322</v>
      </c>
    </row>
    <row r="250" spans="1:11" x14ac:dyDescent="0.35">
      <c r="A250" s="4" t="s">
        <v>293</v>
      </c>
      <c r="B250" s="2" t="s">
        <v>30</v>
      </c>
      <c r="C250" s="2">
        <v>1513.58</v>
      </c>
      <c r="D250" s="2" t="s">
        <v>39</v>
      </c>
      <c r="E250" s="2" t="s">
        <v>21</v>
      </c>
      <c r="F250" s="2" t="s">
        <v>22</v>
      </c>
      <c r="G250" s="2" t="s">
        <v>16</v>
      </c>
      <c r="H250" s="2">
        <v>41</v>
      </c>
      <c r="I250" s="2" t="s">
        <v>24</v>
      </c>
      <c r="J250" s="2">
        <v>1</v>
      </c>
      <c r="K250" s="5">
        <v>45114</v>
      </c>
    </row>
    <row r="251" spans="1:11" x14ac:dyDescent="0.35">
      <c r="A251" s="4" t="s">
        <v>294</v>
      </c>
      <c r="B251" s="2" t="s">
        <v>19</v>
      </c>
      <c r="C251" s="2">
        <v>1945.14</v>
      </c>
      <c r="D251" s="2" t="s">
        <v>45</v>
      </c>
      <c r="E251" s="2" t="s">
        <v>21</v>
      </c>
      <c r="F251" s="2" t="s">
        <v>15</v>
      </c>
      <c r="G251" s="2" t="s">
        <v>33</v>
      </c>
      <c r="H251" s="2">
        <v>21</v>
      </c>
      <c r="I251" s="2" t="s">
        <v>17</v>
      </c>
      <c r="J251" s="2">
        <v>1</v>
      </c>
      <c r="K251" s="5">
        <v>45633</v>
      </c>
    </row>
    <row r="252" spans="1:11" x14ac:dyDescent="0.35">
      <c r="A252" s="4" t="s">
        <v>295</v>
      </c>
      <c r="B252" s="2" t="s">
        <v>12</v>
      </c>
      <c r="C252" s="2">
        <v>1650.78</v>
      </c>
      <c r="D252" s="2" t="s">
        <v>20</v>
      </c>
      <c r="E252" s="2" t="s">
        <v>32</v>
      </c>
      <c r="F252" s="2" t="s">
        <v>22</v>
      </c>
      <c r="G252" s="2" t="s">
        <v>23</v>
      </c>
      <c r="H252" s="2">
        <v>32</v>
      </c>
      <c r="I252" s="2" t="s">
        <v>24</v>
      </c>
      <c r="J252" s="2">
        <v>1</v>
      </c>
      <c r="K252" s="5">
        <v>45733</v>
      </c>
    </row>
    <row r="253" spans="1:11" x14ac:dyDescent="0.35">
      <c r="A253" s="4" t="s">
        <v>296</v>
      </c>
      <c r="B253" s="2" t="s">
        <v>42</v>
      </c>
      <c r="C253" s="2">
        <v>1561.31</v>
      </c>
      <c r="D253" s="2" t="s">
        <v>31</v>
      </c>
      <c r="E253" s="2" t="s">
        <v>47</v>
      </c>
      <c r="F253" s="2" t="s">
        <v>15</v>
      </c>
      <c r="G253" s="2" t="s">
        <v>33</v>
      </c>
      <c r="H253" s="2">
        <v>26</v>
      </c>
      <c r="I253" s="2" t="s">
        <v>17</v>
      </c>
      <c r="J253" s="2">
        <v>2</v>
      </c>
      <c r="K253" s="5">
        <v>45648</v>
      </c>
    </row>
    <row r="254" spans="1:11" x14ac:dyDescent="0.35">
      <c r="A254" s="4" t="s">
        <v>297</v>
      </c>
      <c r="B254" s="2" t="s">
        <v>35</v>
      </c>
      <c r="C254" s="2">
        <v>1283.42</v>
      </c>
      <c r="D254" s="2" t="s">
        <v>13</v>
      </c>
      <c r="E254" s="2" t="s">
        <v>32</v>
      </c>
      <c r="F254" s="2" t="s">
        <v>15</v>
      </c>
      <c r="G254" s="2" t="s">
        <v>28</v>
      </c>
      <c r="H254" s="2">
        <v>44</v>
      </c>
      <c r="I254" s="2" t="s">
        <v>17</v>
      </c>
      <c r="J254" s="2">
        <v>1</v>
      </c>
      <c r="K254" s="5">
        <v>45744</v>
      </c>
    </row>
    <row r="255" spans="1:11" x14ac:dyDescent="0.35">
      <c r="A255" s="4" t="s">
        <v>298</v>
      </c>
      <c r="B255" s="2" t="s">
        <v>42</v>
      </c>
      <c r="C255" s="2">
        <v>624.41</v>
      </c>
      <c r="D255" s="2" t="s">
        <v>49</v>
      </c>
      <c r="E255" s="2" t="s">
        <v>47</v>
      </c>
      <c r="F255" s="2" t="s">
        <v>50</v>
      </c>
      <c r="G255" s="2" t="s">
        <v>28</v>
      </c>
      <c r="H255" s="2">
        <v>22</v>
      </c>
      <c r="I255" s="2" t="s">
        <v>24</v>
      </c>
      <c r="J255" s="2">
        <v>2</v>
      </c>
      <c r="K255" s="5">
        <v>45459</v>
      </c>
    </row>
    <row r="256" spans="1:11" x14ac:dyDescent="0.35">
      <c r="A256" s="4" t="s">
        <v>299</v>
      </c>
      <c r="B256" s="2" t="s">
        <v>26</v>
      </c>
      <c r="C256" s="2">
        <v>831.7</v>
      </c>
      <c r="D256" s="2" t="s">
        <v>27</v>
      </c>
      <c r="E256" s="2" t="s">
        <v>47</v>
      </c>
      <c r="F256" s="2" t="s">
        <v>22</v>
      </c>
      <c r="G256" s="2" t="s">
        <v>28</v>
      </c>
      <c r="H256" s="2">
        <v>34</v>
      </c>
      <c r="I256" s="2" t="s">
        <v>17</v>
      </c>
      <c r="J256" s="2">
        <v>2</v>
      </c>
      <c r="K256" s="5">
        <v>45434</v>
      </c>
    </row>
    <row r="257" spans="1:11" x14ac:dyDescent="0.35">
      <c r="A257" s="4" t="s">
        <v>300</v>
      </c>
      <c r="B257" s="2" t="s">
        <v>72</v>
      </c>
      <c r="C257" s="2">
        <v>845.41</v>
      </c>
      <c r="D257" s="2" t="s">
        <v>45</v>
      </c>
      <c r="E257" s="2" t="s">
        <v>21</v>
      </c>
      <c r="F257" s="2" t="s">
        <v>15</v>
      </c>
      <c r="G257" s="2" t="s">
        <v>33</v>
      </c>
      <c r="H257" s="2">
        <v>56</v>
      </c>
      <c r="I257" s="2" t="s">
        <v>17</v>
      </c>
      <c r="J257" s="2">
        <v>2</v>
      </c>
      <c r="K257" s="5">
        <v>45334</v>
      </c>
    </row>
    <row r="258" spans="1:11" x14ac:dyDescent="0.35">
      <c r="A258" s="4" t="s">
        <v>301</v>
      </c>
      <c r="B258" s="2" t="s">
        <v>72</v>
      </c>
      <c r="C258" s="2">
        <v>1669.01</v>
      </c>
      <c r="D258" s="2" t="s">
        <v>52</v>
      </c>
      <c r="E258" s="2" t="s">
        <v>21</v>
      </c>
      <c r="F258" s="2" t="s">
        <v>50</v>
      </c>
      <c r="G258" s="2" t="s">
        <v>33</v>
      </c>
      <c r="H258" s="2">
        <v>53</v>
      </c>
      <c r="I258" s="2" t="s">
        <v>17</v>
      </c>
      <c r="J258" s="2">
        <v>1</v>
      </c>
      <c r="K258" s="5">
        <v>45606</v>
      </c>
    </row>
    <row r="259" spans="1:11" x14ac:dyDescent="0.35">
      <c r="A259" s="4" t="s">
        <v>302</v>
      </c>
      <c r="B259" s="2" t="s">
        <v>72</v>
      </c>
      <c r="C259" s="2">
        <v>320.23</v>
      </c>
      <c r="D259" s="2" t="s">
        <v>31</v>
      </c>
      <c r="E259" s="2" t="s">
        <v>32</v>
      </c>
      <c r="F259" s="2" t="s">
        <v>15</v>
      </c>
      <c r="G259" s="2" t="s">
        <v>23</v>
      </c>
      <c r="H259" s="2">
        <v>23</v>
      </c>
      <c r="I259" s="2" t="s">
        <v>24</v>
      </c>
      <c r="J259" s="2">
        <v>5</v>
      </c>
      <c r="K259" s="5">
        <v>45332</v>
      </c>
    </row>
    <row r="260" spans="1:11" x14ac:dyDescent="0.35">
      <c r="A260" s="4" t="s">
        <v>303</v>
      </c>
      <c r="B260" s="2" t="s">
        <v>35</v>
      </c>
      <c r="C260" s="2">
        <v>830.13</v>
      </c>
      <c r="D260" s="2" t="s">
        <v>43</v>
      </c>
      <c r="E260" s="2" t="s">
        <v>32</v>
      </c>
      <c r="F260" s="2" t="s">
        <v>15</v>
      </c>
      <c r="G260" s="2" t="s">
        <v>33</v>
      </c>
      <c r="H260" s="2">
        <v>27</v>
      </c>
      <c r="I260" s="2" t="s">
        <v>24</v>
      </c>
      <c r="J260" s="2">
        <v>2</v>
      </c>
      <c r="K260" s="5">
        <v>45378</v>
      </c>
    </row>
    <row r="261" spans="1:11" x14ac:dyDescent="0.35">
      <c r="A261" s="4" t="s">
        <v>304</v>
      </c>
      <c r="B261" s="2" t="s">
        <v>55</v>
      </c>
      <c r="C261" s="2">
        <v>1882.02</v>
      </c>
      <c r="D261" s="2" t="s">
        <v>49</v>
      </c>
      <c r="E261" s="2" t="s">
        <v>47</v>
      </c>
      <c r="F261" s="2" t="s">
        <v>50</v>
      </c>
      <c r="G261" s="2" t="s">
        <v>16</v>
      </c>
      <c r="H261" s="2">
        <v>29</v>
      </c>
      <c r="I261" s="2" t="s">
        <v>24</v>
      </c>
      <c r="J261" s="2">
        <v>2</v>
      </c>
      <c r="K261" s="5">
        <v>45400</v>
      </c>
    </row>
    <row r="262" spans="1:11" x14ac:dyDescent="0.35">
      <c r="A262" s="4" t="s">
        <v>305</v>
      </c>
      <c r="B262" s="2" t="s">
        <v>38</v>
      </c>
      <c r="C262" s="2">
        <v>851.44</v>
      </c>
      <c r="D262" s="2" t="s">
        <v>13</v>
      </c>
      <c r="E262" s="2" t="s">
        <v>32</v>
      </c>
      <c r="F262" s="2" t="s">
        <v>15</v>
      </c>
      <c r="G262" s="2" t="s">
        <v>28</v>
      </c>
      <c r="H262" s="2">
        <v>21</v>
      </c>
      <c r="I262" s="2" t="s">
        <v>24</v>
      </c>
      <c r="J262" s="2">
        <v>3</v>
      </c>
      <c r="K262" s="5">
        <v>45346</v>
      </c>
    </row>
    <row r="263" spans="1:11" x14ac:dyDescent="0.35">
      <c r="A263" s="4" t="s">
        <v>306</v>
      </c>
      <c r="B263" s="2" t="s">
        <v>72</v>
      </c>
      <c r="C263" s="2">
        <v>315.75</v>
      </c>
      <c r="D263" s="2" t="s">
        <v>45</v>
      </c>
      <c r="E263" s="2" t="s">
        <v>32</v>
      </c>
      <c r="F263" s="2" t="s">
        <v>15</v>
      </c>
      <c r="G263" s="2" t="s">
        <v>16</v>
      </c>
      <c r="H263" s="2">
        <v>44</v>
      </c>
      <c r="I263" s="2" t="s">
        <v>24</v>
      </c>
      <c r="J263" s="2">
        <v>5</v>
      </c>
      <c r="K263" s="5">
        <v>45810</v>
      </c>
    </row>
    <row r="264" spans="1:11" x14ac:dyDescent="0.35">
      <c r="A264" s="4" t="s">
        <v>307</v>
      </c>
      <c r="B264" s="2" t="s">
        <v>38</v>
      </c>
      <c r="C264" s="2">
        <v>366.42</v>
      </c>
      <c r="D264" s="2" t="s">
        <v>43</v>
      </c>
      <c r="E264" s="2" t="s">
        <v>21</v>
      </c>
      <c r="F264" s="2" t="s">
        <v>15</v>
      </c>
      <c r="G264" s="2" t="s">
        <v>23</v>
      </c>
      <c r="H264" s="2">
        <v>26</v>
      </c>
      <c r="I264" s="2" t="s">
        <v>24</v>
      </c>
      <c r="J264" s="2">
        <v>4</v>
      </c>
      <c r="K264" s="5">
        <v>45735</v>
      </c>
    </row>
    <row r="265" spans="1:11" x14ac:dyDescent="0.35">
      <c r="A265" s="4" t="s">
        <v>308</v>
      </c>
      <c r="B265" s="2" t="s">
        <v>72</v>
      </c>
      <c r="C265" s="2">
        <v>31.56</v>
      </c>
      <c r="D265" s="2" t="s">
        <v>43</v>
      </c>
      <c r="E265" s="2" t="s">
        <v>47</v>
      </c>
      <c r="F265" s="2" t="s">
        <v>15</v>
      </c>
      <c r="G265" s="2" t="s">
        <v>33</v>
      </c>
      <c r="H265" s="2">
        <v>38</v>
      </c>
      <c r="I265" s="2" t="s">
        <v>17</v>
      </c>
      <c r="J265" s="2">
        <v>4</v>
      </c>
      <c r="K265" s="5">
        <v>45372</v>
      </c>
    </row>
    <row r="266" spans="1:11" x14ac:dyDescent="0.35">
      <c r="A266" s="4" t="s">
        <v>309</v>
      </c>
      <c r="B266" s="2" t="s">
        <v>26</v>
      </c>
      <c r="C266" s="2">
        <v>753.97</v>
      </c>
      <c r="D266" s="2" t="s">
        <v>20</v>
      </c>
      <c r="E266" s="2" t="s">
        <v>21</v>
      </c>
      <c r="F266" s="2" t="s">
        <v>22</v>
      </c>
      <c r="G266" s="2" t="s">
        <v>23</v>
      </c>
      <c r="H266" s="2">
        <v>59</v>
      </c>
      <c r="I266" s="2" t="s">
        <v>24</v>
      </c>
      <c r="J266" s="2">
        <v>5</v>
      </c>
      <c r="K266" s="5">
        <v>45710</v>
      </c>
    </row>
    <row r="267" spans="1:11" x14ac:dyDescent="0.35">
      <c r="A267" s="4" t="s">
        <v>310</v>
      </c>
      <c r="B267" s="2" t="s">
        <v>35</v>
      </c>
      <c r="C267" s="2">
        <v>1624.64</v>
      </c>
      <c r="D267" s="2" t="s">
        <v>52</v>
      </c>
      <c r="E267" s="2" t="s">
        <v>21</v>
      </c>
      <c r="F267" s="2" t="s">
        <v>50</v>
      </c>
      <c r="G267" s="2" t="s">
        <v>16</v>
      </c>
      <c r="H267" s="2">
        <v>29</v>
      </c>
      <c r="I267" s="2" t="s">
        <v>24</v>
      </c>
      <c r="J267" s="2">
        <v>4</v>
      </c>
      <c r="K267" s="5">
        <v>45407</v>
      </c>
    </row>
    <row r="268" spans="1:11" x14ac:dyDescent="0.35">
      <c r="A268" s="4" t="s">
        <v>311</v>
      </c>
      <c r="B268" s="2" t="s">
        <v>12</v>
      </c>
      <c r="C268" s="2">
        <v>442.66</v>
      </c>
      <c r="D268" s="2" t="s">
        <v>20</v>
      </c>
      <c r="E268" s="2" t="s">
        <v>14</v>
      </c>
      <c r="F268" s="2" t="s">
        <v>22</v>
      </c>
      <c r="G268" s="2" t="s">
        <v>33</v>
      </c>
      <c r="H268" s="2">
        <v>39</v>
      </c>
      <c r="I268" s="2" t="s">
        <v>17</v>
      </c>
      <c r="J268" s="2">
        <v>2</v>
      </c>
      <c r="K268" s="5">
        <v>45201</v>
      </c>
    </row>
    <row r="269" spans="1:11" x14ac:dyDescent="0.35">
      <c r="A269" s="4" t="s">
        <v>312</v>
      </c>
      <c r="B269" s="2" t="s">
        <v>26</v>
      </c>
      <c r="C269" s="2">
        <v>1469.18</v>
      </c>
      <c r="D269" s="2" t="s">
        <v>45</v>
      </c>
      <c r="E269" s="2" t="s">
        <v>21</v>
      </c>
      <c r="F269" s="2" t="s">
        <v>15</v>
      </c>
      <c r="G269" s="2" t="s">
        <v>23</v>
      </c>
      <c r="H269" s="2">
        <v>27</v>
      </c>
      <c r="I269" s="2" t="s">
        <v>17</v>
      </c>
      <c r="J269" s="2">
        <v>4</v>
      </c>
      <c r="K269" s="5">
        <v>45369</v>
      </c>
    </row>
    <row r="270" spans="1:11" x14ac:dyDescent="0.35">
      <c r="A270" s="4" t="s">
        <v>313</v>
      </c>
      <c r="B270" s="2" t="s">
        <v>72</v>
      </c>
      <c r="C270" s="2">
        <v>1304.49</v>
      </c>
      <c r="D270" s="2" t="s">
        <v>31</v>
      </c>
      <c r="E270" s="2" t="s">
        <v>47</v>
      </c>
      <c r="F270" s="2" t="s">
        <v>15</v>
      </c>
      <c r="G270" s="2" t="s">
        <v>33</v>
      </c>
      <c r="H270" s="2">
        <v>60</v>
      </c>
      <c r="I270" s="2" t="s">
        <v>24</v>
      </c>
      <c r="J270" s="2">
        <v>1</v>
      </c>
      <c r="K270" s="5">
        <v>45581</v>
      </c>
    </row>
    <row r="271" spans="1:11" x14ac:dyDescent="0.35">
      <c r="A271" s="4" t="s">
        <v>314</v>
      </c>
      <c r="B271" s="2" t="s">
        <v>65</v>
      </c>
      <c r="C271" s="2">
        <v>195.91</v>
      </c>
      <c r="D271" s="2" t="s">
        <v>49</v>
      </c>
      <c r="E271" s="2" t="s">
        <v>21</v>
      </c>
      <c r="F271" s="2" t="s">
        <v>50</v>
      </c>
      <c r="G271" s="2" t="s">
        <v>33</v>
      </c>
      <c r="H271" s="2">
        <v>20</v>
      </c>
      <c r="I271" s="2" t="s">
        <v>24</v>
      </c>
      <c r="J271" s="2">
        <v>4</v>
      </c>
      <c r="K271" s="5">
        <v>45467</v>
      </c>
    </row>
    <row r="272" spans="1:11" x14ac:dyDescent="0.35">
      <c r="A272" s="4" t="s">
        <v>315</v>
      </c>
      <c r="B272" s="2" t="s">
        <v>65</v>
      </c>
      <c r="C272" s="2">
        <v>1719.7</v>
      </c>
      <c r="D272" s="2" t="s">
        <v>13</v>
      </c>
      <c r="E272" s="2" t="s">
        <v>32</v>
      </c>
      <c r="F272" s="2" t="s">
        <v>15</v>
      </c>
      <c r="G272" s="2" t="s">
        <v>28</v>
      </c>
      <c r="H272" s="2">
        <v>25</v>
      </c>
      <c r="I272" s="2" t="s">
        <v>24</v>
      </c>
      <c r="J272" s="2">
        <v>5</v>
      </c>
      <c r="K272" s="5">
        <v>45322</v>
      </c>
    </row>
    <row r="273" spans="1:11" x14ac:dyDescent="0.35">
      <c r="A273" s="4" t="s">
        <v>316</v>
      </c>
      <c r="B273" s="2" t="s">
        <v>19</v>
      </c>
      <c r="C273" s="2">
        <v>497.74</v>
      </c>
      <c r="D273" s="2" t="s">
        <v>13</v>
      </c>
      <c r="E273" s="2" t="s">
        <v>21</v>
      </c>
      <c r="F273" s="2" t="s">
        <v>15</v>
      </c>
      <c r="G273" s="2" t="s">
        <v>33</v>
      </c>
      <c r="H273" s="2">
        <v>52</v>
      </c>
      <c r="I273" s="2" t="s">
        <v>17</v>
      </c>
      <c r="J273" s="2">
        <v>1</v>
      </c>
      <c r="K273" s="5">
        <v>45287</v>
      </c>
    </row>
    <row r="274" spans="1:11" x14ac:dyDescent="0.35">
      <c r="A274" s="4" t="s">
        <v>317</v>
      </c>
      <c r="B274" s="2" t="s">
        <v>42</v>
      </c>
      <c r="C274" s="2">
        <v>525.49</v>
      </c>
      <c r="D274" s="2" t="s">
        <v>43</v>
      </c>
      <c r="E274" s="2" t="s">
        <v>21</v>
      </c>
      <c r="F274" s="2" t="s">
        <v>15</v>
      </c>
      <c r="G274" s="2" t="s">
        <v>23</v>
      </c>
      <c r="H274" s="2">
        <v>60</v>
      </c>
      <c r="I274" s="2" t="s">
        <v>24</v>
      </c>
      <c r="J274" s="2">
        <v>1</v>
      </c>
      <c r="K274" s="5">
        <v>45487</v>
      </c>
    </row>
    <row r="275" spans="1:11" x14ac:dyDescent="0.35">
      <c r="A275" s="4" t="s">
        <v>318</v>
      </c>
      <c r="B275" s="2" t="s">
        <v>55</v>
      </c>
      <c r="C275" s="2">
        <v>992.12</v>
      </c>
      <c r="D275" s="2" t="s">
        <v>39</v>
      </c>
      <c r="E275" s="2" t="s">
        <v>32</v>
      </c>
      <c r="F275" s="2" t="s">
        <v>22</v>
      </c>
      <c r="G275" s="2" t="s">
        <v>16</v>
      </c>
      <c r="H275" s="2">
        <v>24</v>
      </c>
      <c r="I275" s="2" t="s">
        <v>24</v>
      </c>
      <c r="J275" s="2">
        <v>1</v>
      </c>
      <c r="K275" s="5">
        <v>45574</v>
      </c>
    </row>
    <row r="276" spans="1:11" x14ac:dyDescent="0.35">
      <c r="A276" s="4" t="s">
        <v>319</v>
      </c>
      <c r="B276" s="2" t="s">
        <v>19</v>
      </c>
      <c r="C276" s="2">
        <v>292</v>
      </c>
      <c r="D276" s="2" t="s">
        <v>49</v>
      </c>
      <c r="E276" s="2" t="s">
        <v>21</v>
      </c>
      <c r="F276" s="2" t="s">
        <v>50</v>
      </c>
      <c r="G276" s="2" t="s">
        <v>16</v>
      </c>
      <c r="H276" s="2">
        <v>22</v>
      </c>
      <c r="I276" s="2" t="s">
        <v>24</v>
      </c>
      <c r="J276" s="2">
        <v>3</v>
      </c>
      <c r="K276" s="5">
        <v>45125</v>
      </c>
    </row>
    <row r="277" spans="1:11" x14ac:dyDescent="0.35">
      <c r="A277" s="4" t="s">
        <v>320</v>
      </c>
      <c r="B277" s="2" t="s">
        <v>35</v>
      </c>
      <c r="C277" s="2">
        <v>1796.13</v>
      </c>
      <c r="D277" s="2" t="s">
        <v>20</v>
      </c>
      <c r="E277" s="2" t="s">
        <v>32</v>
      </c>
      <c r="F277" s="2" t="s">
        <v>22</v>
      </c>
      <c r="G277" s="2" t="s">
        <v>28</v>
      </c>
      <c r="H277" s="2">
        <v>60</v>
      </c>
      <c r="I277" s="2" t="s">
        <v>17</v>
      </c>
      <c r="J277" s="2">
        <v>5</v>
      </c>
      <c r="K277" s="5">
        <v>45474</v>
      </c>
    </row>
    <row r="278" spans="1:11" x14ac:dyDescent="0.35">
      <c r="A278" s="4" t="s">
        <v>321</v>
      </c>
      <c r="B278" s="2" t="s">
        <v>42</v>
      </c>
      <c r="C278" s="2">
        <v>306.36</v>
      </c>
      <c r="D278" s="2" t="s">
        <v>52</v>
      </c>
      <c r="E278" s="2" t="s">
        <v>47</v>
      </c>
      <c r="F278" s="2" t="s">
        <v>50</v>
      </c>
      <c r="G278" s="2" t="s">
        <v>33</v>
      </c>
      <c r="H278" s="2">
        <v>38</v>
      </c>
      <c r="I278" s="2" t="s">
        <v>24</v>
      </c>
      <c r="J278" s="2">
        <v>1</v>
      </c>
      <c r="K278" s="5">
        <v>45532</v>
      </c>
    </row>
    <row r="279" spans="1:11" x14ac:dyDescent="0.35">
      <c r="A279" s="4" t="s">
        <v>322</v>
      </c>
      <c r="B279" s="2" t="s">
        <v>72</v>
      </c>
      <c r="C279" s="2">
        <v>1254.0999999999999</v>
      </c>
      <c r="D279" s="2" t="s">
        <v>20</v>
      </c>
      <c r="E279" s="2" t="s">
        <v>47</v>
      </c>
      <c r="F279" s="2" t="s">
        <v>22</v>
      </c>
      <c r="G279" s="2" t="s">
        <v>16</v>
      </c>
      <c r="H279" s="2">
        <v>52</v>
      </c>
      <c r="I279" s="2" t="s">
        <v>24</v>
      </c>
      <c r="J279" s="2">
        <v>3</v>
      </c>
      <c r="K279" s="5">
        <v>45672</v>
      </c>
    </row>
    <row r="280" spans="1:11" x14ac:dyDescent="0.35">
      <c r="A280" s="4" t="s">
        <v>323</v>
      </c>
      <c r="B280" s="2" t="s">
        <v>65</v>
      </c>
      <c r="C280" s="2">
        <v>1961.06</v>
      </c>
      <c r="D280" s="2" t="s">
        <v>27</v>
      </c>
      <c r="E280" s="2" t="s">
        <v>21</v>
      </c>
      <c r="F280" s="2" t="s">
        <v>22</v>
      </c>
      <c r="G280" s="2" t="s">
        <v>23</v>
      </c>
      <c r="H280" s="2">
        <v>38</v>
      </c>
      <c r="I280" s="2" t="s">
        <v>24</v>
      </c>
      <c r="J280" s="2">
        <v>5</v>
      </c>
      <c r="K280" s="5">
        <v>45434</v>
      </c>
    </row>
    <row r="281" spans="1:11" x14ac:dyDescent="0.35">
      <c r="A281" s="4" t="s">
        <v>324</v>
      </c>
      <c r="B281" s="2" t="s">
        <v>12</v>
      </c>
      <c r="C281" s="2">
        <v>1830.19</v>
      </c>
      <c r="D281" s="2" t="s">
        <v>20</v>
      </c>
      <c r="E281" s="2" t="s">
        <v>47</v>
      </c>
      <c r="F281" s="2" t="s">
        <v>22</v>
      </c>
      <c r="G281" s="2" t="s">
        <v>33</v>
      </c>
      <c r="H281" s="2">
        <v>43</v>
      </c>
      <c r="I281" s="2" t="s">
        <v>24</v>
      </c>
      <c r="J281" s="2">
        <v>3</v>
      </c>
      <c r="K281" s="5">
        <v>45807</v>
      </c>
    </row>
    <row r="282" spans="1:11" x14ac:dyDescent="0.35">
      <c r="A282" s="4" t="s">
        <v>325</v>
      </c>
      <c r="B282" s="2" t="s">
        <v>55</v>
      </c>
      <c r="C282" s="2">
        <v>839</v>
      </c>
      <c r="D282" s="2" t="s">
        <v>13</v>
      </c>
      <c r="E282" s="2" t="s">
        <v>21</v>
      </c>
      <c r="F282" s="2" t="s">
        <v>15</v>
      </c>
      <c r="G282" s="2" t="s">
        <v>33</v>
      </c>
      <c r="H282" s="2">
        <v>31</v>
      </c>
      <c r="I282" s="2" t="s">
        <v>24</v>
      </c>
      <c r="J282" s="2">
        <v>2</v>
      </c>
      <c r="K282" s="5">
        <v>45566</v>
      </c>
    </row>
    <row r="283" spans="1:11" x14ac:dyDescent="0.35">
      <c r="A283" s="4" t="s">
        <v>326</v>
      </c>
      <c r="B283" s="2" t="s">
        <v>12</v>
      </c>
      <c r="C283" s="2">
        <v>224.01</v>
      </c>
      <c r="D283" s="2" t="s">
        <v>52</v>
      </c>
      <c r="E283" s="2" t="s">
        <v>47</v>
      </c>
      <c r="F283" s="2" t="s">
        <v>50</v>
      </c>
      <c r="G283" s="2" t="s">
        <v>33</v>
      </c>
      <c r="H283" s="2">
        <v>25</v>
      </c>
      <c r="I283" s="2" t="s">
        <v>24</v>
      </c>
      <c r="J283" s="2">
        <v>2</v>
      </c>
      <c r="K283" s="5">
        <v>45628</v>
      </c>
    </row>
    <row r="284" spans="1:11" x14ac:dyDescent="0.35">
      <c r="A284" s="4" t="s">
        <v>327</v>
      </c>
      <c r="B284" s="2" t="s">
        <v>35</v>
      </c>
      <c r="C284" s="2">
        <v>1595.67</v>
      </c>
      <c r="D284" s="2" t="s">
        <v>49</v>
      </c>
      <c r="E284" s="2" t="s">
        <v>47</v>
      </c>
      <c r="F284" s="2" t="s">
        <v>50</v>
      </c>
      <c r="G284" s="2" t="s">
        <v>28</v>
      </c>
      <c r="H284" s="2">
        <v>38</v>
      </c>
      <c r="I284" s="2" t="s">
        <v>17</v>
      </c>
      <c r="J284" s="2">
        <v>2</v>
      </c>
      <c r="K284" s="5">
        <v>45281</v>
      </c>
    </row>
    <row r="285" spans="1:11" x14ac:dyDescent="0.35">
      <c r="A285" s="4" t="s">
        <v>328</v>
      </c>
      <c r="B285" s="2" t="s">
        <v>72</v>
      </c>
      <c r="C285" s="2">
        <v>345.73</v>
      </c>
      <c r="D285" s="2" t="s">
        <v>20</v>
      </c>
      <c r="E285" s="2" t="s">
        <v>47</v>
      </c>
      <c r="F285" s="2" t="s">
        <v>22</v>
      </c>
      <c r="G285" s="2" t="s">
        <v>33</v>
      </c>
      <c r="H285" s="2">
        <v>48</v>
      </c>
      <c r="I285" s="2" t="s">
        <v>17</v>
      </c>
      <c r="J285" s="2">
        <v>2</v>
      </c>
      <c r="K285" s="5">
        <v>45151</v>
      </c>
    </row>
    <row r="286" spans="1:11" x14ac:dyDescent="0.35">
      <c r="A286" s="4" t="s">
        <v>329</v>
      </c>
      <c r="B286" s="2" t="s">
        <v>72</v>
      </c>
      <c r="C286" s="2">
        <v>1400.12</v>
      </c>
      <c r="D286" s="2" t="s">
        <v>36</v>
      </c>
      <c r="E286" s="2" t="s">
        <v>21</v>
      </c>
      <c r="F286" s="2" t="s">
        <v>15</v>
      </c>
      <c r="G286" s="2" t="s">
        <v>33</v>
      </c>
      <c r="H286" s="2">
        <v>48</v>
      </c>
      <c r="I286" s="2" t="s">
        <v>24</v>
      </c>
      <c r="J286" s="2">
        <v>1</v>
      </c>
      <c r="K286" s="5">
        <v>45103</v>
      </c>
    </row>
    <row r="287" spans="1:11" x14ac:dyDescent="0.35">
      <c r="A287" s="4" t="s">
        <v>330</v>
      </c>
      <c r="B287" s="2" t="s">
        <v>35</v>
      </c>
      <c r="C287" s="2">
        <v>1592.52</v>
      </c>
      <c r="D287" s="2" t="s">
        <v>20</v>
      </c>
      <c r="E287" s="2" t="s">
        <v>226</v>
      </c>
      <c r="F287" s="2" t="s">
        <v>22</v>
      </c>
      <c r="G287" s="2" t="s">
        <v>23</v>
      </c>
      <c r="H287" s="2">
        <v>60</v>
      </c>
      <c r="I287" s="2" t="s">
        <v>24</v>
      </c>
      <c r="J287" s="2">
        <v>3</v>
      </c>
      <c r="K287" s="5">
        <v>45451</v>
      </c>
    </row>
    <row r="288" spans="1:11" x14ac:dyDescent="0.35">
      <c r="A288" s="4" t="s">
        <v>331</v>
      </c>
      <c r="B288" s="2" t="s">
        <v>35</v>
      </c>
      <c r="C288" s="2">
        <v>34.94</v>
      </c>
      <c r="D288" s="2" t="s">
        <v>43</v>
      </c>
      <c r="E288" s="2" t="s">
        <v>21</v>
      </c>
      <c r="F288" s="2" t="s">
        <v>15</v>
      </c>
      <c r="G288" s="2" t="s">
        <v>23</v>
      </c>
      <c r="H288" s="2">
        <v>52</v>
      </c>
      <c r="I288" s="2" t="s">
        <v>17</v>
      </c>
      <c r="J288" s="2">
        <v>3</v>
      </c>
      <c r="K288" s="5">
        <v>45358</v>
      </c>
    </row>
    <row r="289" spans="1:11" x14ac:dyDescent="0.35">
      <c r="A289" s="4" t="s">
        <v>332</v>
      </c>
      <c r="B289" s="2" t="s">
        <v>55</v>
      </c>
      <c r="C289" s="2">
        <v>599.35</v>
      </c>
      <c r="D289" s="2" t="s">
        <v>39</v>
      </c>
      <c r="E289" s="2" t="s">
        <v>21</v>
      </c>
      <c r="F289" s="2" t="s">
        <v>22</v>
      </c>
      <c r="G289" s="2" t="s">
        <v>16</v>
      </c>
      <c r="H289" s="2">
        <v>48</v>
      </c>
      <c r="I289" s="2" t="s">
        <v>17</v>
      </c>
      <c r="J289" s="2">
        <v>4</v>
      </c>
      <c r="K289" s="5">
        <v>45527</v>
      </c>
    </row>
    <row r="290" spans="1:11" x14ac:dyDescent="0.35">
      <c r="A290" s="4" t="s">
        <v>333</v>
      </c>
      <c r="B290" s="2" t="s">
        <v>72</v>
      </c>
      <c r="C290" s="2">
        <v>954.47</v>
      </c>
      <c r="D290" s="2" t="s">
        <v>39</v>
      </c>
      <c r="E290" s="2" t="s">
        <v>226</v>
      </c>
      <c r="F290" s="2" t="s">
        <v>22</v>
      </c>
      <c r="G290" s="2" t="s">
        <v>23</v>
      </c>
      <c r="H290" s="2">
        <v>44</v>
      </c>
      <c r="I290" s="2" t="s">
        <v>24</v>
      </c>
      <c r="J290" s="2">
        <v>5</v>
      </c>
      <c r="K290" s="5">
        <v>45257</v>
      </c>
    </row>
    <row r="291" spans="1:11" x14ac:dyDescent="0.35">
      <c r="A291" s="4" t="s">
        <v>334</v>
      </c>
      <c r="B291" s="2" t="s">
        <v>30</v>
      </c>
      <c r="C291" s="2">
        <v>1275.67</v>
      </c>
      <c r="D291" s="2" t="s">
        <v>45</v>
      </c>
      <c r="E291" s="2" t="s">
        <v>226</v>
      </c>
      <c r="F291" s="2" t="s">
        <v>15</v>
      </c>
      <c r="G291" s="2" t="s">
        <v>33</v>
      </c>
      <c r="H291" s="2">
        <v>43</v>
      </c>
      <c r="I291" s="2" t="s">
        <v>24</v>
      </c>
      <c r="J291" s="2">
        <v>5</v>
      </c>
      <c r="K291" s="5">
        <v>45672</v>
      </c>
    </row>
    <row r="292" spans="1:11" x14ac:dyDescent="0.35">
      <c r="A292" s="4" t="s">
        <v>25</v>
      </c>
      <c r="B292" s="2" t="s">
        <v>38</v>
      </c>
      <c r="C292" s="2">
        <v>1375.3</v>
      </c>
      <c r="D292" s="2" t="s">
        <v>13</v>
      </c>
      <c r="E292" s="2" t="s">
        <v>47</v>
      </c>
      <c r="F292" s="2" t="s">
        <v>15</v>
      </c>
      <c r="G292" s="2" t="s">
        <v>16</v>
      </c>
      <c r="H292" s="2">
        <v>43</v>
      </c>
      <c r="I292" s="2" t="s">
        <v>24</v>
      </c>
      <c r="J292" s="2">
        <v>1</v>
      </c>
      <c r="K292" s="5">
        <v>45465</v>
      </c>
    </row>
    <row r="293" spans="1:11" x14ac:dyDescent="0.35">
      <c r="A293" s="4" t="s">
        <v>335</v>
      </c>
      <c r="B293" s="2" t="s">
        <v>12</v>
      </c>
      <c r="C293" s="2">
        <v>1084.42</v>
      </c>
      <c r="D293" s="2" t="s">
        <v>31</v>
      </c>
      <c r="E293" s="2" t="s">
        <v>14</v>
      </c>
      <c r="F293" s="2" t="s">
        <v>15</v>
      </c>
      <c r="G293" s="2" t="s">
        <v>33</v>
      </c>
      <c r="H293" s="2">
        <v>31</v>
      </c>
      <c r="I293" s="2" t="s">
        <v>24</v>
      </c>
      <c r="J293" s="2">
        <v>5</v>
      </c>
      <c r="K293" s="5">
        <v>45142</v>
      </c>
    </row>
    <row r="294" spans="1:11" x14ac:dyDescent="0.35">
      <c r="A294" s="4" t="s">
        <v>336</v>
      </c>
      <c r="B294" s="2" t="s">
        <v>35</v>
      </c>
      <c r="C294" s="2">
        <v>72.510000000000005</v>
      </c>
      <c r="D294" s="2" t="s">
        <v>31</v>
      </c>
      <c r="E294" s="2" t="s">
        <v>14</v>
      </c>
      <c r="F294" s="2" t="s">
        <v>15</v>
      </c>
      <c r="G294" s="2" t="s">
        <v>33</v>
      </c>
      <c r="H294" s="2">
        <v>36</v>
      </c>
      <c r="I294" s="2" t="s">
        <v>24</v>
      </c>
      <c r="J294" s="2">
        <v>5</v>
      </c>
      <c r="K294" s="5">
        <v>45591</v>
      </c>
    </row>
    <row r="295" spans="1:11" x14ac:dyDescent="0.35">
      <c r="A295" s="4" t="s">
        <v>337</v>
      </c>
      <c r="B295" s="2" t="s">
        <v>38</v>
      </c>
      <c r="C295" s="2">
        <v>137.15</v>
      </c>
      <c r="D295" s="2" t="s">
        <v>20</v>
      </c>
      <c r="E295" s="2" t="s">
        <v>21</v>
      </c>
      <c r="F295" s="2" t="s">
        <v>22</v>
      </c>
      <c r="G295" s="2" t="s">
        <v>23</v>
      </c>
      <c r="H295" s="2">
        <v>32</v>
      </c>
      <c r="I295" s="2" t="s">
        <v>24</v>
      </c>
      <c r="J295" s="2">
        <v>1</v>
      </c>
      <c r="K295" s="5">
        <v>45166</v>
      </c>
    </row>
    <row r="296" spans="1:11" x14ac:dyDescent="0.35">
      <c r="A296" s="4" t="s">
        <v>338</v>
      </c>
      <c r="B296" s="2" t="s">
        <v>72</v>
      </c>
      <c r="C296" s="2">
        <v>960.92</v>
      </c>
      <c r="D296" s="2" t="s">
        <v>52</v>
      </c>
      <c r="E296" s="2" t="s">
        <v>226</v>
      </c>
      <c r="F296" s="2" t="s">
        <v>50</v>
      </c>
      <c r="G296" s="2" t="s">
        <v>23</v>
      </c>
      <c r="H296" s="2">
        <v>25</v>
      </c>
      <c r="I296" s="2" t="s">
        <v>24</v>
      </c>
      <c r="J296" s="2">
        <v>2</v>
      </c>
      <c r="K296" s="5">
        <v>45309</v>
      </c>
    </row>
    <row r="297" spans="1:11" x14ac:dyDescent="0.35">
      <c r="A297" s="4" t="s">
        <v>339</v>
      </c>
      <c r="B297" s="2" t="s">
        <v>12</v>
      </c>
      <c r="C297" s="2">
        <v>1270.97</v>
      </c>
      <c r="D297" s="2" t="s">
        <v>13</v>
      </c>
      <c r="E297" s="2" t="s">
        <v>226</v>
      </c>
      <c r="F297" s="2" t="s">
        <v>15</v>
      </c>
      <c r="G297" s="2" t="s">
        <v>23</v>
      </c>
      <c r="H297" s="2">
        <v>54</v>
      </c>
      <c r="I297" s="2" t="s">
        <v>24</v>
      </c>
      <c r="J297" s="2">
        <v>1</v>
      </c>
      <c r="K297" s="5">
        <v>45193</v>
      </c>
    </row>
    <row r="298" spans="1:11" x14ac:dyDescent="0.35">
      <c r="A298" s="4" t="s">
        <v>340</v>
      </c>
      <c r="B298" s="2" t="s">
        <v>42</v>
      </c>
      <c r="C298" s="2">
        <v>559.77</v>
      </c>
      <c r="D298" s="2" t="s">
        <v>36</v>
      </c>
      <c r="E298" s="2" t="s">
        <v>47</v>
      </c>
      <c r="F298" s="2" t="s">
        <v>15</v>
      </c>
      <c r="G298" s="2" t="s">
        <v>33</v>
      </c>
      <c r="H298" s="2">
        <v>52</v>
      </c>
      <c r="I298" s="2" t="s">
        <v>24</v>
      </c>
      <c r="J298" s="2">
        <v>3</v>
      </c>
      <c r="K298" s="5">
        <v>45420</v>
      </c>
    </row>
    <row r="299" spans="1:11" x14ac:dyDescent="0.35">
      <c r="A299" s="4" t="s">
        <v>341</v>
      </c>
      <c r="B299" s="2" t="s">
        <v>26</v>
      </c>
      <c r="C299" s="2">
        <v>1369.99</v>
      </c>
      <c r="D299" s="2" t="s">
        <v>45</v>
      </c>
      <c r="E299" s="2" t="s">
        <v>226</v>
      </c>
      <c r="F299" s="2" t="s">
        <v>15</v>
      </c>
      <c r="G299" s="2" t="s">
        <v>23</v>
      </c>
      <c r="H299" s="2">
        <v>21</v>
      </c>
      <c r="I299" s="2" t="s">
        <v>17</v>
      </c>
      <c r="J299" s="2">
        <v>3</v>
      </c>
      <c r="K299" s="5">
        <v>45116</v>
      </c>
    </row>
    <row r="300" spans="1:11" x14ac:dyDescent="0.35">
      <c r="A300" s="4" t="s">
        <v>342</v>
      </c>
      <c r="B300" s="2" t="s">
        <v>19</v>
      </c>
      <c r="C300" s="2">
        <v>274.95999999999998</v>
      </c>
      <c r="D300" s="2" t="s">
        <v>31</v>
      </c>
      <c r="E300" s="2" t="s">
        <v>47</v>
      </c>
      <c r="F300" s="2" t="s">
        <v>15</v>
      </c>
      <c r="G300" s="2" t="s">
        <v>23</v>
      </c>
      <c r="H300" s="2">
        <v>59</v>
      </c>
      <c r="I300" s="2" t="s">
        <v>17</v>
      </c>
      <c r="J300" s="2">
        <v>3</v>
      </c>
      <c r="K300" s="5">
        <v>45755</v>
      </c>
    </row>
    <row r="301" spans="1:11" x14ac:dyDescent="0.35">
      <c r="A301" s="9" t="s">
        <v>343</v>
      </c>
      <c r="B301" s="10" t="s">
        <v>26</v>
      </c>
      <c r="C301" s="10">
        <v>905.4</v>
      </c>
      <c r="D301" s="10" t="s">
        <v>49</v>
      </c>
      <c r="E301" s="10" t="s">
        <v>14</v>
      </c>
      <c r="F301" s="10" t="s">
        <v>50</v>
      </c>
      <c r="G301" s="10" t="s">
        <v>23</v>
      </c>
      <c r="H301" s="10">
        <v>53</v>
      </c>
      <c r="I301" s="10" t="s">
        <v>17</v>
      </c>
      <c r="J301" s="10">
        <v>1</v>
      </c>
      <c r="K301" s="11">
        <v>45646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324F26A4EFF5F40B9E68170D630278D" ma:contentTypeVersion="18" ma:contentTypeDescription="Create a new document." ma:contentTypeScope="" ma:versionID="c4c751ed1c5becf5ddb7812a60f40878">
  <xsd:schema xmlns:xsd="http://www.w3.org/2001/XMLSchema" xmlns:xs="http://www.w3.org/2001/XMLSchema" xmlns:p="http://schemas.microsoft.com/office/2006/metadata/properties" xmlns:ns1="http://schemas.microsoft.com/sharepoint/v3" xmlns:ns3="49634f37-f7b4-4fea-9698-772b68ba84c3" xmlns:ns4="0c046fd1-ab0c-4761-a258-6580c22dd217" targetNamespace="http://schemas.microsoft.com/office/2006/metadata/properties" ma:root="true" ma:fieldsID="29bdae496362ddb9067094ce37ee736b" ns1:_="" ns3:_="" ns4:_="">
    <xsd:import namespace="http://schemas.microsoft.com/sharepoint/v3"/>
    <xsd:import namespace="49634f37-f7b4-4fea-9698-772b68ba84c3"/>
    <xsd:import namespace="0c046fd1-ab0c-4761-a258-6580c22dd21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9634f37-f7b4-4fea-9698-772b68ba84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046fd1-ab0c-4761-a258-6580c22dd2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49634f37-f7b4-4fea-9698-772b68ba84c3" xsi:nil="true"/>
  </documentManagement>
</p:properties>
</file>

<file path=customXml/itemProps1.xml><?xml version="1.0" encoding="utf-8"?>
<ds:datastoreItem xmlns:ds="http://schemas.openxmlformats.org/officeDocument/2006/customXml" ds:itemID="{46A6E0F1-AE48-4DA1-94C2-07CEBFBF19D9}">
  <ds:schemaRefs>
    <ds:schemaRef ds:uri="http://schemas.microsoft.com/sharepoint/v3/contenttype/forms"/>
  </ds:schemaRefs>
</ds:datastoreItem>
</file>

<file path=customXml/itemProps2.xml><?xml version="1.0" encoding="utf-8"?>
<ds:datastoreItem xmlns:ds="http://schemas.openxmlformats.org/officeDocument/2006/customXml" ds:itemID="{E9DAA25A-C4CF-4E3E-9875-6373D6621B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9634f37-f7b4-4fea-9698-772b68ba84c3"/>
    <ds:schemaRef ds:uri="0c046fd1-ab0c-4761-a258-6580c22dd2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BF7DDC-E052-4D4E-A522-3B1D783B56B2}">
  <ds:schemaRefs>
    <ds:schemaRef ds:uri="http://purl.org/dc/terms/"/>
    <ds:schemaRef ds:uri="http://schemas.microsoft.com/office/2006/documentManagement/types"/>
    <ds:schemaRef ds:uri="http://schemas.microsoft.com/office/infopath/2007/PartnerControls"/>
    <ds:schemaRef ds:uri="http://schemas.microsoft.com/sharepoint/v3"/>
    <ds:schemaRef ds:uri="http://purl.org/dc/dcmitype/"/>
    <ds:schemaRef ds:uri="49634f37-f7b4-4fea-9698-772b68ba84c3"/>
    <ds:schemaRef ds:uri="0c046fd1-ab0c-4761-a258-6580c22dd217"/>
    <ds:schemaRef ds:uri="http://www.w3.org/XML/1998/namespace"/>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Sheet4</vt:lpstr>
      <vt:lpstr>Detail1</vt:lpstr>
      <vt:lpstr>Sheet2</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Nouran Elzeky</dc:creator>
  <cp:lastModifiedBy>Menna AbdelNasser Ramadan Elnagar</cp:lastModifiedBy>
  <dcterms:created xsi:type="dcterms:W3CDTF">2025-12-14T08:11:51Z</dcterms:created>
  <dcterms:modified xsi:type="dcterms:W3CDTF">2026-08-08T14:43:56Z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0x0101003324F26A4EFF5F40B9E68170D630278D</vt:lpwstr>
  </property>
</Properties>
</file>