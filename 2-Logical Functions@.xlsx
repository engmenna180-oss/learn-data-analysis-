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depi\data\"/>
    </mc:Choice>
  </mc:AlternateContent>
  <xr:revisionPtr revIDLastSave="0" documentId="13_ncr:1_{9F7BDB12-71CC-4205-BEAE-C36A610950C3}" xr6:coauthVersionLast="47" xr6:coauthVersionMax="47" xr10:uidLastSave="{00000000-0000-0000-0000-000000000000}"/>
  <bookViews>
    <workbookView xWindow="-110" yWindow="-110" windowWidth="19420" windowHeight="11020" tabRatio="766" activeTab="5" xr2:uid="{00000000-000D-0000-FFFF-FFFF00000000}"/>
  </bookViews>
  <sheets>
    <sheet name="IF &amp; Nested IF" sheetId="1" r:id="rId1"/>
    <sheet name="IF AND, IF OR" sheetId="4" r:id="rId2"/>
    <sheet name="SumIF &amp; SumIFs" sheetId="12" r:id="rId3"/>
    <sheet name="AverageIF &amp; AverageIFs" sheetId="13" r:id="rId4"/>
    <sheet name="Count IF &amp; Count IFs" sheetId="7" r:id="rId5"/>
    <sheet name="Example" sheetId="1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4" l="1"/>
  <c r="D6" i="14"/>
  <c r="D5" i="14"/>
  <c r="D4" i="14"/>
  <c r="D3" i="14"/>
  <c r="G31" i="7"/>
  <c r="G8" i="7"/>
  <c r="H54" i="13"/>
  <c r="G44" i="12"/>
  <c r="G34" i="12"/>
  <c r="G22" i="12"/>
  <c r="G10" i="12"/>
  <c r="I19" i="4"/>
  <c r="C20" i="4"/>
  <c r="D7" i="14"/>
  <c r="H79" i="1"/>
  <c r="H80" i="1"/>
  <c r="H81" i="1"/>
  <c r="H82" i="1"/>
  <c r="H83" i="1"/>
  <c r="H84" i="1"/>
  <c r="H85" i="1"/>
  <c r="H86" i="1"/>
  <c r="H78" i="1"/>
  <c r="I80" i="1"/>
  <c r="I81" i="1"/>
  <c r="I82" i="1"/>
  <c r="I84" i="1"/>
  <c r="I85" i="1"/>
  <c r="G78" i="1"/>
  <c r="I79" i="1"/>
  <c r="I83" i="1"/>
  <c r="I86" i="1"/>
  <c r="G45" i="7"/>
  <c r="G44" i="7"/>
  <c r="G32" i="7"/>
  <c r="G18" i="7"/>
  <c r="G79" i="1"/>
  <c r="G80" i="1"/>
  <c r="G81" i="1"/>
  <c r="G82" i="1"/>
  <c r="G83" i="1"/>
  <c r="G84" i="1"/>
  <c r="G85" i="1"/>
  <c r="G86" i="1"/>
  <c r="K25" i="1"/>
  <c r="H81" i="13"/>
  <c r="H67" i="13"/>
  <c r="H53" i="13"/>
  <c r="H31" i="13"/>
  <c r="H42" i="13"/>
  <c r="H41" i="13"/>
  <c r="H20" i="13"/>
  <c r="H9" i="13"/>
  <c r="I20" i="4"/>
  <c r="I21" i="4"/>
  <c r="I22" i="4"/>
  <c r="I23" i="4"/>
  <c r="I24" i="4"/>
  <c r="I25" i="4"/>
  <c r="I26" i="4"/>
  <c r="I27" i="4"/>
  <c r="I28" i="4"/>
  <c r="C21" i="4"/>
  <c r="C22" i="4"/>
  <c r="C23" i="4"/>
  <c r="C24" i="4"/>
  <c r="C25" i="4"/>
  <c r="C26" i="4"/>
  <c r="C27" i="4"/>
  <c r="C28" i="4"/>
  <c r="C19" i="4"/>
  <c r="F7" i="4"/>
  <c r="F8" i="4"/>
  <c r="F9" i="4"/>
  <c r="F10" i="4"/>
  <c r="F11" i="4"/>
  <c r="F6" i="4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45" i="1"/>
  <c r="E36" i="1"/>
  <c r="E37" i="1"/>
  <c r="E38" i="1"/>
  <c r="E3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45" i="1"/>
  <c r="D36" i="1"/>
  <c r="D37" i="1"/>
  <c r="D38" i="1"/>
  <c r="D35" i="1"/>
  <c r="F9" i="1"/>
  <c r="F10" i="1"/>
  <c r="F11" i="1"/>
  <c r="F12" i="1"/>
  <c r="F13" i="1"/>
  <c r="F8" i="1"/>
  <c r="K26" i="1"/>
  <c r="K27" i="1"/>
  <c r="K24" i="1"/>
  <c r="K2" i="1"/>
  <c r="H12" i="1"/>
  <c r="E9" i="1"/>
  <c r="E10" i="1"/>
  <c r="E11" i="1"/>
  <c r="E12" i="1"/>
  <c r="E13" i="1"/>
  <c r="E8" i="1"/>
  <c r="H4" i="1"/>
  <c r="H5" i="1" a="1"/>
  <c r="K6" i="1"/>
  <c r="K3" i="1"/>
  <c r="H3" i="1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I7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Yat</author>
  </authors>
  <commentList>
    <comment ref="G7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Commission:</t>
        </r>
        <r>
          <rPr>
            <sz val="9"/>
            <color indexed="81"/>
            <rFont val="Tahoma"/>
            <family val="2"/>
          </rPr>
          <t xml:space="preserve">
for Sales Rep Employees : 20% ,
for Sales Indoor Employees : 15%
if else 0</t>
        </r>
      </text>
    </comment>
    <comment ref="H7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Transportation:</t>
        </r>
        <r>
          <rPr>
            <sz val="9"/>
            <color indexed="81"/>
            <rFont val="Tahoma"/>
            <family val="2"/>
          </rPr>
          <t xml:space="preserve"> 
For all Employee worked in these </t>
        </r>
        <r>
          <rPr>
            <b/>
            <sz val="9"/>
            <color indexed="81"/>
            <rFont val="Tahoma"/>
            <family val="2"/>
          </rPr>
          <t>Branches</t>
        </r>
        <r>
          <rPr>
            <sz val="9"/>
            <color indexed="81"/>
            <rFont val="Tahoma"/>
            <family val="2"/>
          </rPr>
          <t xml:space="preserve"> and his </t>
        </r>
        <r>
          <rPr>
            <b/>
            <sz val="9"/>
            <color indexed="81"/>
            <rFont val="Tahoma"/>
            <family val="2"/>
          </rPr>
          <t>Salaries</t>
        </r>
        <r>
          <rPr>
            <sz val="9"/>
            <color indexed="81"/>
            <rFont val="Tahoma"/>
            <family val="2"/>
          </rPr>
          <t xml:space="preserve"> &gt;10000
for Makram Ebaid Branch : 500 ,
for Alexandria : 1500 ,
for Heliopolis : 700 ,
for Assuit : 2500
else 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<sst xmlns="http://schemas.openxmlformats.org/spreadsheetml/2006/main" count="608" uniqueCount="229">
  <si>
    <t>IF &amp; Nested IF</t>
  </si>
  <si>
    <t>Target is :</t>
  </si>
  <si>
    <r>
      <t xml:space="preserve">If First Quarter exceed </t>
    </r>
    <r>
      <rPr>
        <b/>
        <sz val="11"/>
        <color theme="1"/>
        <rFont val="Calibri"/>
        <family val="2"/>
      </rPr>
      <t>Target</t>
    </r>
    <r>
      <rPr>
        <sz val="11"/>
        <color theme="1"/>
        <rFont val="Calibri"/>
        <family val="2"/>
      </rPr>
      <t xml:space="preserve"> remark as </t>
    </r>
    <r>
      <rPr>
        <b/>
        <sz val="11"/>
        <color theme="1"/>
        <rFont val="Calibri"/>
        <family val="2"/>
      </rPr>
      <t>Done, else remark as Not Done</t>
    </r>
  </si>
  <si>
    <t>Sales Manager</t>
  </si>
  <si>
    <t>January</t>
  </si>
  <si>
    <t>February</t>
  </si>
  <si>
    <t>March</t>
  </si>
  <si>
    <t>Total First Quarter</t>
  </si>
  <si>
    <t>Remark</t>
  </si>
  <si>
    <t>Mark Smith</t>
  </si>
  <si>
    <t>=if(E8&gt;B3,"done",'not done")</t>
  </si>
  <si>
    <t>David Jackson</t>
  </si>
  <si>
    <t>Ali Ahmed</t>
  </si>
  <si>
    <t>Rick Stuart</t>
  </si>
  <si>
    <t>Tom Alter</t>
  </si>
  <si>
    <t>Deepak Chopra</t>
  </si>
  <si>
    <t>Sales Target average is &gt;=25</t>
  </si>
  <si>
    <t>Find Total sales if average is achived else display (Average not Achieved)</t>
  </si>
  <si>
    <t>Sales person</t>
  </si>
  <si>
    <t>Cairo</t>
  </si>
  <si>
    <t>Alex</t>
  </si>
  <si>
    <t>Mansoura</t>
  </si>
  <si>
    <t>Tanta</t>
  </si>
  <si>
    <t>Aswam</t>
  </si>
  <si>
    <t>Louxor</t>
  </si>
  <si>
    <t>Behira</t>
  </si>
  <si>
    <t>Portsaied</t>
  </si>
  <si>
    <t>Domiat</t>
  </si>
  <si>
    <t>Total Sales</t>
  </si>
  <si>
    <t>Ahmed</t>
  </si>
  <si>
    <t>Mohammed</t>
  </si>
  <si>
    <t>Karim</t>
  </si>
  <si>
    <t>Ramy</t>
  </si>
  <si>
    <t>Discount is offered only to product has Special Offer</t>
  </si>
  <si>
    <t>Product</t>
  </si>
  <si>
    <t>Special</t>
  </si>
  <si>
    <t>Order</t>
  </si>
  <si>
    <t>Offer</t>
  </si>
  <si>
    <t>Value</t>
  </si>
  <si>
    <t>Discount</t>
  </si>
  <si>
    <t>Total</t>
  </si>
  <si>
    <t>Wood</t>
  </si>
  <si>
    <t>Yes</t>
  </si>
  <si>
    <t>Glass</t>
  </si>
  <si>
    <t>No</t>
  </si>
  <si>
    <t>Cement</t>
  </si>
  <si>
    <t>Turf</t>
  </si>
  <si>
    <t>Student</t>
  </si>
  <si>
    <t>Score</t>
  </si>
  <si>
    <t>Pass/Fail</t>
  </si>
  <si>
    <t>Grade</t>
  </si>
  <si>
    <t>Simple Grade Scale</t>
  </si>
  <si>
    <t>Osami Abe</t>
  </si>
  <si>
    <t>A</t>
  </si>
  <si>
    <t>90-100</t>
  </si>
  <si>
    <t>Romelio Arce Alva</t>
  </si>
  <si>
    <t>B</t>
  </si>
  <si>
    <t>80-89</t>
  </si>
  <si>
    <t>Bela Cedillo Amador</t>
  </si>
  <si>
    <t>C</t>
  </si>
  <si>
    <t>70-79</t>
  </si>
  <si>
    <t>Valderrama Cazares Armijo</t>
  </si>
  <si>
    <t>D</t>
  </si>
  <si>
    <t>60-69</t>
  </si>
  <si>
    <t>Constella Arriba</t>
  </si>
  <si>
    <t>F</t>
  </si>
  <si>
    <t>Below 60</t>
  </si>
  <si>
    <t>Kiyotaka Asai</t>
  </si>
  <si>
    <t>Lorujama Anguiano Barraza</t>
  </si>
  <si>
    <t>Billy Black</t>
  </si>
  <si>
    <t>William Bloch</t>
  </si>
  <si>
    <t>Teseo Ceballos Caldera</t>
  </si>
  <si>
    <t>Louise Carmel</t>
  </si>
  <si>
    <t>Jovianne Benavidez Cervántez</t>
  </si>
  <si>
    <t>Jacob Chang</t>
  </si>
  <si>
    <t>April Connors</t>
  </si>
  <si>
    <t>Martha Cordle</t>
  </si>
  <si>
    <t>Juan Dean</t>
  </si>
  <si>
    <t>Arthur Fernandez</t>
  </si>
  <si>
    <t>Susan Ferro</t>
  </si>
  <si>
    <t>James Foreman</t>
  </si>
  <si>
    <t>Employee
ID</t>
  </si>
  <si>
    <t>Employee
Name</t>
  </si>
  <si>
    <t>Hiring
Date</t>
  </si>
  <si>
    <t>Position
ID</t>
  </si>
  <si>
    <t>Branch
ID</t>
  </si>
  <si>
    <t>Salary</t>
  </si>
  <si>
    <t>Commission</t>
  </si>
  <si>
    <t>Transportation</t>
  </si>
  <si>
    <t xml:space="preserve">Total Salary </t>
  </si>
  <si>
    <t>Ahmed Mohamed</t>
  </si>
  <si>
    <t>Sales Rep</t>
  </si>
  <si>
    <t>Makram Ebaid</t>
  </si>
  <si>
    <t>Walaa Mostafa</t>
  </si>
  <si>
    <t>Secretary</t>
  </si>
  <si>
    <t>Alexandria</t>
  </si>
  <si>
    <t>Rania Osama</t>
  </si>
  <si>
    <t>Heliopolis</t>
  </si>
  <si>
    <t>Ahmed Ramzy</t>
  </si>
  <si>
    <t>Instructor</t>
  </si>
  <si>
    <t>Maadi</t>
  </si>
  <si>
    <t>Latif Mahmoud</t>
  </si>
  <si>
    <t>Sales Indoor</t>
  </si>
  <si>
    <t>Asmaa Hady</t>
  </si>
  <si>
    <t>Branch Manager</t>
  </si>
  <si>
    <t>Assuit</t>
  </si>
  <si>
    <t>Diaa Mansour</t>
  </si>
  <si>
    <t>Khaled Abdalla</t>
  </si>
  <si>
    <t>Marketing Rep.</t>
  </si>
  <si>
    <t>Mona Eltobgy</t>
  </si>
  <si>
    <t>IF AND / IF OR</t>
  </si>
  <si>
    <r>
      <t xml:space="preserve">Any student who scores </t>
    </r>
    <r>
      <rPr>
        <b/>
        <u/>
        <sz val="11"/>
        <color theme="1"/>
        <rFont val="Calibri"/>
        <family val="2"/>
      </rPr>
      <t xml:space="preserve">at least 95 on </t>
    </r>
    <r>
      <rPr>
        <b/>
        <i/>
        <u/>
        <sz val="10"/>
        <rFont val="Arial"/>
        <family val="2"/>
      </rPr>
      <t>any</t>
    </r>
    <r>
      <rPr>
        <sz val="10"/>
        <rFont val="Arial"/>
        <family val="2"/>
      </rPr>
      <t xml:space="preserve"> of the exams gets a bonus
which is 1% of their total score.</t>
    </r>
  </si>
  <si>
    <t>Exam 1</t>
  </si>
  <si>
    <t>Exam 2</t>
  </si>
  <si>
    <t>Exam 3</t>
  </si>
  <si>
    <t>Exam 4</t>
  </si>
  <si>
    <t>Bonus</t>
  </si>
  <si>
    <t>Stud 1</t>
  </si>
  <si>
    <t>Stud 2</t>
  </si>
  <si>
    <t>Stud 3</t>
  </si>
  <si>
    <t>Stud 4</t>
  </si>
  <si>
    <t>Stud 5</t>
  </si>
  <si>
    <t>Stud 6</t>
  </si>
  <si>
    <t xml:space="preserve">Bonus </t>
  </si>
  <si>
    <t xml:space="preserve">Minimum amount </t>
  </si>
  <si>
    <t xml:space="preserve">Maximum amount </t>
  </si>
  <si>
    <t xml:space="preserve">Sales </t>
  </si>
  <si>
    <t xml:space="preserve">Salesman A </t>
  </si>
  <si>
    <t xml:space="preserve">Salesman B </t>
  </si>
  <si>
    <t xml:space="preserve">Salesman C </t>
  </si>
  <si>
    <t xml:space="preserve">Salesman D </t>
  </si>
  <si>
    <t xml:space="preserve">Salesman E </t>
  </si>
  <si>
    <t xml:space="preserve">Salesman F </t>
  </si>
  <si>
    <t xml:space="preserve">Salesman G </t>
  </si>
  <si>
    <t xml:space="preserve">Salesman H </t>
  </si>
  <si>
    <t xml:space="preserve">Salesman I </t>
  </si>
  <si>
    <t xml:space="preserve">Salesman J </t>
  </si>
  <si>
    <t>SUM IF &amp; SUM Ifs</t>
  </si>
  <si>
    <t>=SUMIF(Range,Criteria,SumRange)</t>
  </si>
  <si>
    <r>
      <t>=SUMIFS(Sum_range,</t>
    </r>
    <r>
      <rPr>
        <sz val="14"/>
        <color rgb="FFFF0000"/>
        <rFont val="Calibri"/>
        <family val="2"/>
        <scheme val="minor"/>
      </rPr>
      <t>criteria_range1</t>
    </r>
    <r>
      <rPr>
        <sz val="14"/>
        <color theme="1"/>
        <rFont val="Calibri"/>
        <family val="2"/>
      </rPr>
      <t>,</t>
    </r>
    <r>
      <rPr>
        <sz val="14"/>
        <color rgb="FFFF0000"/>
        <rFont val="Calibri"/>
        <family val="2"/>
        <scheme val="minor"/>
      </rPr>
      <t>criteria1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criteria_range2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criteria2</t>
    </r>
    <r>
      <rPr>
        <sz val="14"/>
        <color theme="1"/>
        <rFont val="Calibri"/>
        <family val="2"/>
      </rPr>
      <t>,………………)</t>
    </r>
  </si>
  <si>
    <t>Important! The SUMIFS function works with AND logic, meaning that each cell in the sum_range argument is summed only if all of the specified criteria are true for that cell.</t>
  </si>
  <si>
    <t xml:space="preserve">Product </t>
  </si>
  <si>
    <t>Supplier</t>
  </si>
  <si>
    <t>Qty.</t>
  </si>
  <si>
    <t>Bananas</t>
  </si>
  <si>
    <t>Apples</t>
  </si>
  <si>
    <t>USA</t>
  </si>
  <si>
    <t>Oranges</t>
  </si>
  <si>
    <t>Egypt</t>
  </si>
  <si>
    <t>Brazil</t>
  </si>
  <si>
    <t>Watermellon</t>
  </si>
  <si>
    <t>&gt;=200</t>
  </si>
  <si>
    <t>Delivery Date</t>
  </si>
  <si>
    <t>Dates</t>
  </si>
  <si>
    <t>3/5/2026 to 3/8/2026</t>
  </si>
  <si>
    <t>AverageIF &amp; AverageIFs</t>
  </si>
  <si>
    <t xml:space="preserve"> =AverageIF(Range,Criteria,SumRange)</t>
  </si>
  <si>
    <r>
      <t xml:space="preserve">  =AverageIFS(Sum_range,</t>
    </r>
    <r>
      <rPr>
        <sz val="14"/>
        <color rgb="FFFF0000"/>
        <rFont val="Calibri"/>
        <family val="2"/>
        <scheme val="minor"/>
      </rPr>
      <t>criteria_range1</t>
    </r>
    <r>
      <rPr>
        <sz val="14"/>
        <color theme="1"/>
        <rFont val="Calibri"/>
        <family val="2"/>
      </rPr>
      <t>,</t>
    </r>
    <r>
      <rPr>
        <sz val="14"/>
        <color rgb="FFFF0000"/>
        <rFont val="Calibri"/>
        <family val="2"/>
        <scheme val="minor"/>
      </rPr>
      <t>criteria1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criteria_range2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criteria2</t>
    </r>
    <r>
      <rPr>
        <sz val="14"/>
        <color theme="1"/>
        <rFont val="Calibri"/>
        <family val="2"/>
      </rPr>
      <t>,………………)</t>
    </r>
  </si>
  <si>
    <t>Average</t>
  </si>
  <si>
    <t>All banana</t>
  </si>
  <si>
    <t>Green Bananas</t>
  </si>
  <si>
    <t>Yellow Bananas</t>
  </si>
  <si>
    <t>GoldFinger Bananas</t>
  </si>
  <si>
    <t>All Except banana</t>
  </si>
  <si>
    <t>Average of values &gt;10</t>
  </si>
  <si>
    <t>Average for all except 0</t>
  </si>
  <si>
    <t>Average if blank</t>
  </si>
  <si>
    <t>Average if  non blank</t>
  </si>
  <si>
    <t>Qty</t>
  </si>
  <si>
    <t>Count IF &amp; Count Ifs</t>
  </si>
  <si>
    <t xml:space="preserve"> =countif(range,criteria)</t>
  </si>
  <si>
    <r>
      <t xml:space="preserve"> =countifs(</t>
    </r>
    <r>
      <rPr>
        <sz val="14"/>
        <color rgb="FFFF0000"/>
        <rFont val="Calibri"/>
        <family val="2"/>
        <scheme val="minor"/>
      </rPr>
      <t>criteria_range1</t>
    </r>
    <r>
      <rPr>
        <sz val="14"/>
        <color theme="1"/>
        <rFont val="Calibri"/>
        <family val="2"/>
      </rPr>
      <t>,</t>
    </r>
    <r>
      <rPr>
        <sz val="14"/>
        <color rgb="FFFF0000"/>
        <rFont val="Calibri"/>
        <family val="2"/>
        <scheme val="minor"/>
      </rPr>
      <t>criteria1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criteria_range2</t>
    </r>
    <r>
      <rPr>
        <sz val="14"/>
        <color theme="1"/>
        <rFont val="Calibri"/>
        <family val="2"/>
      </rPr>
      <t>,</t>
    </r>
    <r>
      <rPr>
        <sz val="14"/>
        <color theme="4"/>
        <rFont val="Calibri"/>
        <family val="2"/>
        <scheme val="minor"/>
      </rPr>
      <t>criteria2</t>
    </r>
    <r>
      <rPr>
        <sz val="14"/>
        <color theme="1"/>
        <rFont val="Calibri"/>
        <family val="2"/>
      </rPr>
      <t>,…………..)</t>
    </r>
  </si>
  <si>
    <t>Count cells with text</t>
  </si>
  <si>
    <t>Count "Yes"</t>
  </si>
  <si>
    <t>Count if Quantity is 200</t>
  </si>
  <si>
    <t xml:space="preserve">Count if </t>
  </si>
  <si>
    <t xml:space="preserve">Count Wednesday </t>
  </si>
  <si>
    <t>Sunday</t>
  </si>
  <si>
    <t xml:space="preserve">Count Not Wednesday </t>
  </si>
  <si>
    <t>Monday</t>
  </si>
  <si>
    <t>Wednesday</t>
  </si>
  <si>
    <t>Thursday</t>
  </si>
  <si>
    <t>Tuesday</t>
  </si>
  <si>
    <t>Saturday</t>
  </si>
  <si>
    <t>Countifs</t>
  </si>
  <si>
    <t>Name</t>
  </si>
  <si>
    <t>Gender</t>
  </si>
  <si>
    <t>Subject</t>
  </si>
  <si>
    <t>Count female, &gt; 60%</t>
  </si>
  <si>
    <t>Anne</t>
  </si>
  <si>
    <t>Female</t>
  </si>
  <si>
    <t>Maths</t>
  </si>
  <si>
    <t>Count Science, &lt; 50%)</t>
  </si>
  <si>
    <t>English</t>
  </si>
  <si>
    <t>Science</t>
  </si>
  <si>
    <t>Carl</t>
  </si>
  <si>
    <t>Male</t>
  </si>
  <si>
    <t>Kath</t>
  </si>
  <si>
    <t>Tony</t>
  </si>
  <si>
    <t>Computech International Warehouse - Daily Orders</t>
  </si>
  <si>
    <t>Desktop sales</t>
  </si>
  <si>
    <t>Desktop sales in Boston</t>
  </si>
  <si>
    <t>No. of Laptop units sold</t>
  </si>
  <si>
    <t>No. of discounts on Laptop units</t>
  </si>
  <si>
    <t>Average of Desktop prices</t>
  </si>
  <si>
    <t>Average of Compaq Desktop prices</t>
  </si>
  <si>
    <t>Ser</t>
  </si>
  <si>
    <t>Date</t>
  </si>
  <si>
    <t>Branch</t>
  </si>
  <si>
    <t>Category</t>
  </si>
  <si>
    <t>Price</t>
  </si>
  <si>
    <t>Sales</t>
  </si>
  <si>
    <t>New York</t>
  </si>
  <si>
    <t>Laptop</t>
  </si>
  <si>
    <t>Gateway LT3201u</t>
  </si>
  <si>
    <t>Boston</t>
  </si>
  <si>
    <t>Desktop</t>
  </si>
  <si>
    <t>HP Compaq 8000f Elite Ultra-slim</t>
  </si>
  <si>
    <t>Chicago</t>
  </si>
  <si>
    <t>HP Compaq Business 6535b</t>
  </si>
  <si>
    <t>HP Compaq Presario CQ62</t>
  </si>
  <si>
    <t>Dell Vostro 3700</t>
  </si>
  <si>
    <t xml:space="preserve">HP Compaq DC7800 </t>
  </si>
  <si>
    <t>Acer Aspire 8943g</t>
  </si>
  <si>
    <t>HP ProBook 4520s</t>
  </si>
  <si>
    <t>Lenovo C315</t>
  </si>
  <si>
    <t>Lenovo IdeaCentre A300</t>
  </si>
  <si>
    <t>Lenovo G560</t>
  </si>
  <si>
    <t>Lenovo IdeaCentre B500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</si>
</sst>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£&quot;* #,##0_);_(&quot;£&quot;* \(#,##0\);_(&quot;£&quot;* &quot;-&quot;??_);_(@_)"/>
    <numFmt numFmtId="165" formatCode="&quot;$&quot;#,##0.00"/>
    <numFmt numFmtId="166" formatCode="_(* #,##0_);_(* \(#,##0\);_(* &quot;-&quot;??_);_(@_)"/>
    <numFmt numFmtId="167" formatCode="_(&quot;$&quot;* #,##0_);_(&quot;$&quot;* \(#,##0\);_(&quot;$&quot;* &quot;-&quot;??_);_(@_)"/>
    <numFmt numFmtId="168" formatCode="0.0000"/>
  </numFmts>
  <fonts count="39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color indexed="12"/>
      <name val="Arial"/>
      <family val="2"/>
      <charset val="178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3399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</font>
    <font>
      <sz val="14"/>
      <color theme="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  <charset val="178"/>
    </font>
    <font>
      <sz val="11"/>
      <color rgb="FFFF0066"/>
      <name val="Calibri"/>
      <family val="2"/>
      <scheme val="minor"/>
    </font>
    <font>
      <b/>
      <sz val="12"/>
      <color rgb="FFFF0066"/>
      <name val="Calibri"/>
      <family val="2"/>
      <scheme val="minor"/>
    </font>
    <font>
      <b/>
      <sz val="11"/>
      <color rgb="FFFF0066"/>
      <name val="Calibri"/>
      <family val="2"/>
      <scheme val="minor"/>
    </font>
    <font>
      <b/>
      <sz val="14"/>
      <color rgb="FFFF0066"/>
      <name val="Cambria"/>
      <family val="1"/>
      <scheme val="major"/>
    </font>
    <font>
      <b/>
      <u/>
      <sz val="11"/>
      <color theme="1"/>
      <name val="Calibri"/>
      <family val="2"/>
    </font>
    <font>
      <b/>
      <i/>
      <u/>
      <sz val="10"/>
      <name val="Arial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 style="thin">
        <color theme="3" tint="-0.24994659260841701"/>
      </right>
      <top style="thin">
        <color theme="3" tint="-0.24994659260841701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/>
      <bottom/>
      <diagonal/>
    </border>
    <border>
      <left style="thin">
        <color theme="3" tint="-0.24994659260841701"/>
      </left>
      <right/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1" fillId="3" borderId="0" applyNumberFormat="0" applyFont="0" applyBorder="0" applyAlignment="0" applyProtection="0"/>
    <xf numFmtId="0" fontId="11" fillId="2" borderId="0" applyNumberFormat="0" applyFont="0" applyBorder="0" applyAlignment="0" applyProtection="0"/>
    <xf numFmtId="0" fontId="12" fillId="0" borderId="0"/>
    <xf numFmtId="0" fontId="3" fillId="0" borderId="0"/>
    <xf numFmtId="43" fontId="38" fillId="0" borderId="0" applyFont="0" applyFill="0" applyBorder="0" applyAlignment="0" applyProtection="0"/>
    <xf numFmtId="44" fontId="38" fillId="0" borderId="0" applyFont="0" applyFill="0" applyBorder="0" applyAlignment="0" applyProtection="0"/>
  </cellStyleXfs>
  <cellXfs count="175">
    <xf numFmtId="0" fontId="0" fillId="0" borderId="0" xfId="0"/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42" fontId="0" fillId="0" borderId="1" xfId="0" applyNumberFormat="1" applyBorder="1"/>
    <xf numFmtId="42" fontId="0" fillId="0" borderId="1" xfId="0" applyNumberFormat="1" applyBorder="1" applyAlignment="1">
      <alignment wrapText="1"/>
    </xf>
    <xf numFmtId="0" fontId="9" fillId="0" borderId="4" xfId="0" applyFont="1" applyBorder="1" applyAlignment="1">
      <alignment horizontal="left" vertical="center"/>
    </xf>
    <xf numFmtId="14" fontId="9" fillId="0" borderId="4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8" fillId="0" borderId="0" xfId="0" applyFont="1"/>
    <xf numFmtId="0" fontId="0" fillId="0" borderId="0" xfId="0" applyAlignment="1">
      <alignment vertical="top"/>
    </xf>
    <xf numFmtId="0" fontId="17" fillId="0" borderId="0" xfId="0" applyFont="1"/>
    <xf numFmtId="0" fontId="3" fillId="0" borderId="0" xfId="5"/>
    <xf numFmtId="0" fontId="3" fillId="0" borderId="8" xfId="5" applyBorder="1"/>
    <xf numFmtId="0" fontId="3" fillId="0" borderId="7" xfId="5" applyBorder="1"/>
    <xf numFmtId="0" fontId="3" fillId="0" borderId="6" xfId="5" applyBorder="1"/>
    <xf numFmtId="0" fontId="3" fillId="0" borderId="5" xfId="5" applyBorder="1"/>
    <xf numFmtId="0" fontId="3" fillId="0" borderId="1" xfId="5" applyBorder="1"/>
    <xf numFmtId="0" fontId="20" fillId="0" borderId="0" xfId="5" applyFont="1" applyAlignment="1">
      <alignment vertical="center"/>
    </xf>
    <xf numFmtId="0" fontId="3" fillId="0" borderId="9" xfId="5" applyBorder="1"/>
    <xf numFmtId="0" fontId="3" fillId="0" borderId="0" xfId="5" applyAlignment="1">
      <alignment horizontal="left" vertical="top" wrapText="1"/>
    </xf>
    <xf numFmtId="0" fontId="19" fillId="0" borderId="0" xfId="5" applyFont="1"/>
    <xf numFmtId="0" fontId="0" fillId="0" borderId="8" xfId="0" applyBorder="1"/>
    <xf numFmtId="0" fontId="0" fillId="0" borderId="9" xfId="0" applyBorder="1"/>
    <xf numFmtId="0" fontId="0" fillId="0" borderId="7" xfId="0" applyBorder="1"/>
    <xf numFmtId="0" fontId="0" fillId="0" borderId="6" xfId="0" applyBorder="1"/>
    <xf numFmtId="0" fontId="0" fillId="0" borderId="5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9" fontId="3" fillId="0" borderId="0" xfId="5" applyNumberFormat="1"/>
    <xf numFmtId="14" fontId="3" fillId="0" borderId="0" xfId="5" applyNumberFormat="1"/>
    <xf numFmtId="0" fontId="3" fillId="0" borderId="0" xfId="5" applyAlignment="1">
      <alignment horizontal="center"/>
    </xf>
    <xf numFmtId="0" fontId="3" fillId="0" borderId="0" xfId="5" applyAlignment="1">
      <alignment horizontal="left" vertical="center"/>
    </xf>
    <xf numFmtId="165" fontId="24" fillId="0" borderId="1" xfId="5" applyNumberFormat="1" applyFont="1" applyBorder="1" applyAlignment="1">
      <alignment horizontal="center" vertical="center"/>
    </xf>
    <xf numFmtId="0" fontId="24" fillId="0" borderId="1" xfId="5" applyFont="1" applyBorder="1" applyAlignment="1">
      <alignment horizontal="center" vertical="center"/>
    </xf>
    <xf numFmtId="0" fontId="12" fillId="0" borderId="1" xfId="4" applyBorder="1"/>
    <xf numFmtId="0" fontId="12" fillId="0" borderId="1" xfId="4" applyBorder="1" applyAlignment="1">
      <alignment horizontal="center"/>
    </xf>
    <xf numFmtId="0" fontId="12" fillId="0" borderId="1" xfId="4" applyBorder="1" applyAlignment="1">
      <alignment horizontal="left"/>
    </xf>
    <xf numFmtId="0" fontId="31" fillId="0" borderId="1" xfId="2" applyFont="1" applyFill="1" applyBorder="1" applyAlignment="1">
      <alignment horizontal="center"/>
    </xf>
    <xf numFmtId="164" fontId="31" fillId="0" borderId="1" xfId="2" applyNumberFormat="1" applyFont="1" applyFill="1" applyBorder="1" applyAlignment="1">
      <alignment horizontal="center"/>
    </xf>
    <xf numFmtId="0" fontId="17" fillId="5" borderId="1" xfId="4" applyFont="1" applyFill="1" applyBorder="1" applyAlignment="1">
      <alignment horizontal="center"/>
    </xf>
    <xf numFmtId="0" fontId="8" fillId="5" borderId="4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25" fillId="0" borderId="0" xfId="0" applyFont="1"/>
    <xf numFmtId="0" fontId="34" fillId="5" borderId="2" xfId="0" applyFont="1" applyFill="1" applyBorder="1"/>
    <xf numFmtId="9" fontId="0" fillId="0" borderId="1" xfId="0" applyNumberFormat="1" applyBorder="1"/>
    <xf numFmtId="0" fontId="3" fillId="0" borderId="10" xfId="5" applyBorder="1"/>
    <xf numFmtId="0" fontId="3" fillId="5" borderId="1" xfId="5" applyFill="1" applyBorder="1"/>
    <xf numFmtId="0" fontId="3" fillId="5" borderId="3" xfId="5" applyFill="1" applyBorder="1"/>
    <xf numFmtId="0" fontId="26" fillId="0" borderId="0" xfId="5" applyFont="1"/>
    <xf numFmtId="0" fontId="19" fillId="0" borderId="1" xfId="5" applyFont="1" applyBorder="1"/>
    <xf numFmtId="0" fontId="16" fillId="5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top" wrapText="1"/>
    </xf>
    <xf numFmtId="15" fontId="0" fillId="0" borderId="1" xfId="0" applyNumberFormat="1" applyBorder="1" applyAlignment="1">
      <alignment vertical="top" wrapText="1"/>
    </xf>
    <xf numFmtId="0" fontId="22" fillId="0" borderId="0" xfId="0" quotePrefix="1" applyFont="1" applyAlignment="1">
      <alignment vertical="top"/>
    </xf>
    <xf numFmtId="0" fontId="35" fillId="5" borderId="0" xfId="5" applyFont="1" applyFill="1"/>
    <xf numFmtId="0" fontId="32" fillId="5" borderId="0" xfId="5" applyFont="1" applyFill="1"/>
    <xf numFmtId="0" fontId="3" fillId="6" borderId="0" xfId="5" applyFill="1"/>
    <xf numFmtId="0" fontId="0" fillId="0" borderId="1" xfId="0" applyBorder="1" applyAlignment="1">
      <alignment horizontal="center" vertical="top"/>
    </xf>
    <xf numFmtId="0" fontId="25" fillId="0" borderId="0" xfId="0" applyFont="1" applyAlignment="1">
      <alignment horizontal="left"/>
    </xf>
    <xf numFmtId="0" fontId="11" fillId="0" borderId="1" xfId="0" applyFont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2" borderId="3" xfId="3" applyFont="1" applyBorder="1" applyAlignment="1">
      <alignment horizontal="center"/>
    </xf>
    <xf numFmtId="0" fontId="7" fillId="2" borderId="2" xfId="3" applyFont="1" applyBorder="1" applyAlignment="1">
      <alignment horizontal="center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7" fillId="0" borderId="11" xfId="0" applyFont="1" applyBorder="1"/>
    <xf numFmtId="0" fontId="25" fillId="0" borderId="12" xfId="0" applyFont="1" applyBorder="1" applyAlignment="1">
      <alignment horizontal="left"/>
    </xf>
    <xf numFmtId="0" fontId="25" fillId="0" borderId="13" xfId="0" applyFont="1" applyBorder="1" applyAlignment="1">
      <alignment horizontal="left"/>
    </xf>
    <xf numFmtId="0" fontId="5" fillId="4" borderId="14" xfId="0" applyFont="1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8" fillId="5" borderId="14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/>
    </xf>
    <xf numFmtId="0" fontId="7" fillId="0" borderId="12" xfId="0" applyFont="1" applyBorder="1"/>
    <xf numFmtId="9" fontId="33" fillId="0" borderId="0" xfId="1" applyFont="1" applyBorder="1" applyAlignment="1">
      <alignment horizontal="center"/>
    </xf>
    <xf numFmtId="0" fontId="31" fillId="0" borderId="14" xfId="2" applyFont="1" applyFill="1" applyBorder="1" applyAlignment="1">
      <alignment horizontal="center"/>
    </xf>
    <xf numFmtId="164" fontId="31" fillId="0" borderId="15" xfId="2" applyNumberFormat="1" applyFont="1" applyFill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7" fillId="7" borderId="1" xfId="3" applyFont="1" applyFill="1" applyBorder="1" applyAlignment="1">
      <alignment horizontal="center"/>
    </xf>
    <xf numFmtId="0" fontId="7" fillId="7" borderId="15" xfId="3" applyFont="1" applyFill="1" applyBorder="1" applyAlignment="1">
      <alignment horizontal="center"/>
    </xf>
    <xf numFmtId="0" fontId="17" fillId="5" borderId="20" xfId="4" applyFont="1" applyFill="1" applyBorder="1" applyAlignment="1">
      <alignment horizontal="center"/>
    </xf>
    <xf numFmtId="0" fontId="17" fillId="5" borderId="21" xfId="4" applyFont="1" applyFill="1" applyBorder="1" applyAlignment="1">
      <alignment horizontal="center"/>
    </xf>
    <xf numFmtId="0" fontId="16" fillId="0" borderId="12" xfId="4" applyFont="1" applyBorder="1" applyAlignment="1">
      <alignment horizontal="center"/>
    </xf>
    <xf numFmtId="0" fontId="12" fillId="0" borderId="12" xfId="4" applyBorder="1"/>
    <xf numFmtId="0" fontId="12" fillId="0" borderId="14" xfId="4" applyBorder="1"/>
    <xf numFmtId="0" fontId="12" fillId="0" borderId="0" xfId="4" applyAlignment="1">
      <alignment horizontal="center"/>
    </xf>
    <xf numFmtId="0" fontId="12" fillId="0" borderId="0" xfId="4"/>
    <xf numFmtId="0" fontId="12" fillId="0" borderId="15" xfId="4" applyBorder="1" applyAlignment="1">
      <alignment horizontal="center"/>
    </xf>
    <xf numFmtId="0" fontId="12" fillId="0" borderId="23" xfId="4" applyBorder="1"/>
    <xf numFmtId="0" fontId="12" fillId="0" borderId="24" xfId="4" applyBorder="1" applyAlignment="1">
      <alignment horizontal="center"/>
    </xf>
    <xf numFmtId="0" fontId="12" fillId="0" borderId="9" xfId="4" applyBorder="1" applyAlignment="1">
      <alignment horizontal="center"/>
    </xf>
    <xf numFmtId="0" fontId="12" fillId="0" borderId="9" xfId="4" applyBorder="1"/>
    <xf numFmtId="0" fontId="9" fillId="0" borderId="4" xfId="0" applyFont="1" applyBorder="1" applyAlignment="1">
      <alignment horizontal="center" vertical="center"/>
    </xf>
    <xf numFmtId="0" fontId="0" fillId="0" borderId="11" xfId="0" applyBorder="1"/>
    <xf numFmtId="0" fontId="8" fillId="5" borderId="25" xfId="0" applyFont="1" applyFill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/>
    </xf>
    <xf numFmtId="0" fontId="9" fillId="0" borderId="26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14" fontId="9" fillId="0" borderId="27" xfId="0" applyNumberFormat="1" applyFont="1" applyBorder="1" applyAlignment="1">
      <alignment horizontal="left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left" vertical="center" wrapText="1"/>
    </xf>
    <xf numFmtId="0" fontId="9" fillId="0" borderId="29" xfId="0" applyFont="1" applyBorder="1" applyAlignment="1">
      <alignment horizontal="center" vertical="center"/>
    </xf>
    <xf numFmtId="0" fontId="19" fillId="0" borderId="20" xfId="5" applyFont="1" applyBorder="1"/>
    <xf numFmtId="0" fontId="19" fillId="0" borderId="21" xfId="5" applyFont="1" applyBorder="1"/>
    <xf numFmtId="0" fontId="19" fillId="0" borderId="22" xfId="5" applyFont="1" applyBorder="1"/>
    <xf numFmtId="0" fontId="19" fillId="0" borderId="14" xfId="5" applyFont="1" applyBorder="1"/>
    <xf numFmtId="0" fontId="19" fillId="0" borderId="15" xfId="5" applyFont="1" applyBorder="1"/>
    <xf numFmtId="0" fontId="19" fillId="0" borderId="23" xfId="5" applyFont="1" applyBorder="1"/>
    <xf numFmtId="0" fontId="19" fillId="0" borderId="24" xfId="5" applyFont="1" applyBorder="1"/>
    <xf numFmtId="0" fontId="19" fillId="0" borderId="30" xfId="5" applyFont="1" applyBorder="1"/>
    <xf numFmtId="0" fontId="17" fillId="7" borderId="1" xfId="4" applyFont="1" applyFill="1" applyBorder="1" applyAlignment="1">
      <alignment horizontal="center"/>
    </xf>
    <xf numFmtId="0" fontId="34" fillId="7" borderId="1" xfId="0" applyFont="1" applyFill="1" applyBorder="1"/>
    <xf numFmtId="0" fontId="3" fillId="7" borderId="1" xfId="5" applyFill="1" applyBorder="1"/>
    <xf numFmtId="0" fontId="0" fillId="7" borderId="1" xfId="0" applyFill="1" applyBorder="1"/>
    <xf numFmtId="0" fontId="0" fillId="5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42" fontId="7" fillId="5" borderId="12" xfId="0" applyNumberFormat="1" applyFont="1" applyFill="1" applyBorder="1"/>
    <xf numFmtId="166" fontId="0" fillId="0" borderId="1" xfId="6" applyNumberFormat="1" applyFont="1" applyBorder="1"/>
    <xf numFmtId="166" fontId="0" fillId="0" borderId="1" xfId="6" quotePrefix="1" applyNumberFormat="1" applyFont="1" applyBorder="1" applyAlignment="1">
      <alignment horizontal="left"/>
    </xf>
    <xf numFmtId="0" fontId="16" fillId="7" borderId="1" xfId="0" applyFont="1" applyFill="1" applyBorder="1" applyAlignment="1">
      <alignment vertical="center" wrapText="1"/>
    </xf>
    <xf numFmtId="0" fontId="0" fillId="0" borderId="1" xfId="6" quotePrefix="1" applyNumberFormat="1" applyFont="1" applyBorder="1" applyAlignment="1">
      <alignment horizontal="left"/>
    </xf>
    <xf numFmtId="0" fontId="12" fillId="0" borderId="0" xfId="4" applyAlignment="1">
      <alignment horizontal="left"/>
    </xf>
    <xf numFmtId="14" fontId="3" fillId="0" borderId="1" xfId="5" applyNumberFormat="1" applyBorder="1"/>
    <xf numFmtId="0" fontId="2" fillId="0" borderId="10" xfId="5" applyFont="1" applyBorder="1"/>
    <xf numFmtId="0" fontId="0" fillId="0" borderId="1" xfId="0" quotePrefix="1" applyBorder="1"/>
    <xf numFmtId="0" fontId="0" fillId="0" borderId="1" xfId="0" quotePrefix="1" applyBorder="1" applyAlignment="1">
      <alignment vertical="top"/>
    </xf>
    <xf numFmtId="0" fontId="2" fillId="0" borderId="1" xfId="5" applyFont="1" applyBorder="1"/>
    <xf numFmtId="0" fontId="2" fillId="0" borderId="1" xfId="5" quotePrefix="1" applyFont="1" applyBorder="1"/>
    <xf numFmtId="0" fontId="2" fillId="0" borderId="0" xfId="5" applyFont="1"/>
    <xf numFmtId="168" fontId="2" fillId="0" borderId="10" xfId="5" quotePrefix="1" applyNumberFormat="1" applyFont="1" applyBorder="1"/>
    <xf numFmtId="0" fontId="2" fillId="0" borderId="10" xfId="5" quotePrefix="1" applyFont="1" applyBorder="1"/>
    <xf numFmtId="0" fontId="2" fillId="0" borderId="0" xfId="5" quotePrefix="1" applyFont="1"/>
    <xf numFmtId="167" fontId="2" fillId="0" borderId="0" xfId="7" applyNumberFormat="1" applyFont="1"/>
    <xf numFmtId="3" fontId="0" fillId="0" borderId="1" xfId="0" applyNumberFormat="1" applyBorder="1" applyAlignment="1">
      <alignment vertical="center"/>
    </xf>
    <xf numFmtId="0" fontId="1" fillId="0" borderId="1" xfId="5" applyFont="1" applyBorder="1"/>
    <xf numFmtId="1" fontId="0" fillId="0" borderId="0" xfId="0" applyNumberFormat="1"/>
    <xf numFmtId="1" fontId="34" fillId="7" borderId="1" xfId="0" applyNumberFormat="1" applyFont="1" applyFill="1" applyBorder="1"/>
    <xf numFmtId="1" fontId="0" fillId="0" borderId="1" xfId="6" quotePrefix="1" applyNumberFormat="1" applyFont="1" applyBorder="1" applyAlignment="1">
      <alignment horizontal="center" vertical="top"/>
    </xf>
    <xf numFmtId="0" fontId="16" fillId="7" borderId="1" xfId="5" applyFont="1" applyFill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7" fillId="2" borderId="18" xfId="3" applyFont="1" applyBorder="1" applyAlignment="1">
      <alignment horizontal="center" vertical="center"/>
    </xf>
    <xf numFmtId="0" fontId="7" fillId="2" borderId="19" xfId="3" applyFont="1" applyBorder="1" applyAlignment="1">
      <alignment horizontal="center" vertical="center"/>
    </xf>
    <xf numFmtId="0" fontId="33" fillId="5" borderId="21" xfId="0" applyFont="1" applyFill="1" applyBorder="1" applyAlignment="1">
      <alignment horizontal="center" vertical="center"/>
    </xf>
    <xf numFmtId="0" fontId="33" fillId="5" borderId="22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left"/>
    </xf>
    <xf numFmtId="0" fontId="30" fillId="0" borderId="17" xfId="0" applyFont="1" applyBorder="1" applyAlignment="1">
      <alignment horizontal="left"/>
    </xf>
    <xf numFmtId="0" fontId="0" fillId="0" borderId="0" xfId="0" applyAlignment="1">
      <alignment horizontal="center" vertical="top" wrapText="1"/>
    </xf>
    <xf numFmtId="0" fontId="19" fillId="0" borderId="0" xfId="5" quotePrefix="1" applyFont="1" applyAlignment="1">
      <alignment horizontal="left" vertical="center"/>
    </xf>
    <xf numFmtId="0" fontId="19" fillId="0" borderId="0" xfId="5" applyFont="1" applyAlignment="1">
      <alignment horizontal="left" vertical="center"/>
    </xf>
    <xf numFmtId="0" fontId="21" fillId="0" borderId="0" xfId="5" applyFont="1" applyAlignment="1">
      <alignment horizontal="left" vertical="top" wrapText="1"/>
    </xf>
    <xf numFmtId="0" fontId="23" fillId="0" borderId="0" xfId="0" applyFont="1" applyAlignment="1">
      <alignment horizontal="left" vertical="center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left" vertical="center"/>
    </xf>
    <xf numFmtId="0" fontId="17" fillId="5" borderId="1" xfId="0" applyFont="1" applyFill="1" applyBorder="1"/>
  </cellXfs>
  <cellStyles count="8">
    <cellStyle name="Comma" xfId="6" builtinId="3"/>
    <cellStyle name="Currency" xfId="7" builtinId="4"/>
    <cellStyle name="GreyOrWhite" xfId="3" xr:uid="{00000000-0005-0000-0000-000002000000}"/>
    <cellStyle name="Normal" xfId="0" builtinId="0"/>
    <cellStyle name="Normal 2" xfId="4" xr:uid="{00000000-0005-0000-0000-000004000000}"/>
    <cellStyle name="Normal 3" xfId="5" xr:uid="{00000000-0005-0000-0000-000005000000}"/>
    <cellStyle name="Percent" xfId="1" builtinId="5"/>
    <cellStyle name="Yellow" xfId="2" xr:uid="{00000000-0005-0000-0000-000007000000}"/>
  </cellStyles>
  <dxfs count="9">
    <dxf>
      <numFmt numFmtId="4" formatCode="#,##0.00"/>
    </dxf>
    <dxf>
      <numFmt numFmtId="167" formatCode="_(&quot;$&quot;* #,##0_);_(&quot;$&quot;* \(#,##0\);_(&quot;$&quot;* &quot;-&quot;??_);_(@_)"/>
    </dxf>
    <dxf>
      <numFmt numFmtId="0" formatCode="General"/>
    </dxf>
    <dxf>
      <numFmt numFmtId="13" formatCode="0%"/>
    </dxf>
    <dxf>
      <numFmt numFmtId="4" formatCode="#,##0.00"/>
    </dxf>
    <dxf>
      <numFmt numFmtId="167" formatCode="_(&quot;$&quot;* #,##0_);_(&quot;$&quot;* \(#,##0\);_(&quot;$&quot;* &quot;-&quot;??_);_(@_)"/>
    </dxf>
    <dxf>
      <numFmt numFmtId="169" formatCode="dd/mm/yyyy"/>
    </dxf>
    <dxf>
      <numFmt numFmtId="0" formatCode="General"/>
    </dxf>
    <dxf>
      <fill>
        <patternFill patternType="solid">
          <fgColor indexed="64"/>
          <bgColor theme="0" tint="-0.499984740745262"/>
        </patternFill>
      </fill>
    </dxf>
  </dxfs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" displayName="Table13" ref="A10:H50" headerRowDxfId="8">
  <autoFilter ref="A10:H50" xr:uid="{00000000-0009-0000-0100-000001000000}"/>
  <tableColumns count="8">
    <tableColumn id="8" xr3:uid="{00000000-0010-0000-0000-000008000000}" name="Ser" dataDxfId="7"/>
    <tableColumn id="1" xr3:uid="{00000000-0010-0000-0000-000001000000}" name="Date" totalsRowLabel="Total" dataDxfId="6"/>
    <tableColumn id="2" xr3:uid="{00000000-0010-0000-0000-000002000000}" name="Branch"/>
    <tableColumn id="3" xr3:uid="{00000000-0010-0000-0000-000003000000}" name="Category" totalsRowFunction="count"/>
    <tableColumn id="4" xr3:uid="{00000000-0010-0000-0000-000004000000}" name="Product"/>
    <tableColumn id="5" xr3:uid="{00000000-0010-0000-0000-000005000000}" name="Price" totalsRowFunction="average" dataDxfId="5" totalsRowDxfId="4" dataCellStyle="Currency"/>
    <tableColumn id="6" xr3:uid="{00000000-0010-0000-0000-000006000000}" name="Discount" totalsRowFunction="count" dataDxfId="3" totalsRowDxfId="2"/>
    <tableColumn id="7" xr3:uid="{00000000-0010-0000-0000-000007000000}" name="Sales" totalsRowFunction="sum" dataDxfId="1" totalsRowDxfId="0" dataCellStyle="Currency">
      <calculatedColumnFormula>IF(Table13[[#This Row],[Discount]]&lt;&gt;0,Table13[[#This Row],[Price]]-Table13[[#This Row],[Price]]*Table13[[#This Row],[Discount]],Table13[Price])</calculatedColumnFormula>
    </tableColumn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D64" zoomScale="53" zoomScaleNormal="28" workbookViewId="0">
      <selection activeCell="I79" sqref="I79"/>
    </sheetView>
  </sheetViews>
  <sheetFormatPr defaultRowHeight="14.5"/>
  <cols>
    <col min="1" max="1" width="15.54296875" customWidth="1"/>
    <col min="2" max="2" width="13" customWidth="1"/>
    <col min="3" max="3" width="13.453125" bestFit="1" customWidth="1"/>
    <col min="4" max="4" width="11.1796875" customWidth="1"/>
    <col min="5" max="5" width="15" customWidth="1"/>
    <col min="6" max="6" width="8.453125" customWidth="1"/>
    <col min="7" max="7" width="32.453125" customWidth="1"/>
    <col min="8" max="8" width="34" customWidth="1"/>
    <col min="9" max="9" width="11.26953125" bestFit="1" customWidth="1"/>
    <col min="11" max="11" width="21" style="86" bestFit="1" customWidth="1"/>
  </cols>
  <sheetData>
    <row r="1" spans="1:11" ht="21">
      <c r="A1" s="160" t="s">
        <v>0</v>
      </c>
      <c r="B1" s="160"/>
      <c r="C1" s="160"/>
      <c r="D1" s="160"/>
      <c r="E1" s="160"/>
      <c r="F1" s="160"/>
      <c r="G1" s="160"/>
      <c r="H1" s="160"/>
    </row>
    <row r="2" spans="1:11" ht="21.5" thickBot="1">
      <c r="A2" s="63"/>
      <c r="B2" s="63"/>
      <c r="C2" s="63"/>
      <c r="D2" s="63"/>
      <c r="E2" s="63"/>
      <c r="F2" s="63"/>
      <c r="K2" s="86">
        <f>IF(D8&gt;500,D8+100,D8+200)</f>
        <v>650</v>
      </c>
    </row>
    <row r="3" spans="1:11" ht="21">
      <c r="A3" s="73" t="s">
        <v>1</v>
      </c>
      <c r="B3" s="137">
        <v>1250</v>
      </c>
      <c r="C3" s="74"/>
      <c r="D3" s="74"/>
      <c r="E3" s="74"/>
      <c r="F3" s="75"/>
      <c r="H3">
        <f>IF(D8&gt;500,D8+100,D8&gt;200)</f>
        <v>650</v>
      </c>
      <c r="K3" s="86">
        <f>IF(D8&gt;600,D8+100,D8+200)</f>
        <v>750</v>
      </c>
    </row>
    <row r="4" spans="1:11">
      <c r="A4" s="27" t="s">
        <v>2</v>
      </c>
      <c r="F4" s="26"/>
      <c r="H4" t="str">
        <f>IF(D8&gt;600,"correct","Not correct")</f>
        <v>Not correct</v>
      </c>
    </row>
    <row r="5" spans="1:11">
      <c r="A5" s="27"/>
      <c r="F5" s="26"/>
      <c r="H5" cm="1">
        <f t="array" ref="H5:H10">IF(D8:D13&gt;500,D8:D13+100,D8:D13+200)</f>
        <v>650</v>
      </c>
    </row>
    <row r="6" spans="1:11">
      <c r="A6" s="27"/>
      <c r="F6" s="26"/>
      <c r="H6">
        <v>640</v>
      </c>
      <c r="K6" s="86">
        <f>IF(D8&gt;600,K7+100,D8+100)</f>
        <v>650</v>
      </c>
    </row>
    <row r="7" spans="1:11" ht="29.25" customHeight="1">
      <c r="A7" s="76" t="s">
        <v>3</v>
      </c>
      <c r="B7" s="1" t="s">
        <v>4</v>
      </c>
      <c r="C7" s="1" t="s">
        <v>5</v>
      </c>
      <c r="D7" s="1" t="s">
        <v>6</v>
      </c>
      <c r="E7" s="92" t="s">
        <v>7</v>
      </c>
      <c r="F7" s="93" t="s">
        <v>8</v>
      </c>
      <c r="H7">
        <v>675</v>
      </c>
    </row>
    <row r="8" spans="1:11">
      <c r="A8" s="77" t="s">
        <v>9</v>
      </c>
      <c r="B8" s="3">
        <v>345</v>
      </c>
      <c r="C8" s="3">
        <v>448</v>
      </c>
      <c r="D8" s="3">
        <v>550</v>
      </c>
      <c r="E8" s="4">
        <f t="shared" ref="E8:E13" si="0">SUM(B8:D8)</f>
        <v>1343</v>
      </c>
      <c r="F8" s="78" t="str">
        <f>IF(E8&gt;$B$3,"done","not done")</f>
        <v>done</v>
      </c>
      <c r="G8" t="s">
        <v>10</v>
      </c>
      <c r="H8">
        <v>610</v>
      </c>
    </row>
    <row r="9" spans="1:11">
      <c r="A9" s="77" t="s">
        <v>11</v>
      </c>
      <c r="B9" s="3">
        <v>320</v>
      </c>
      <c r="C9" s="3">
        <v>390</v>
      </c>
      <c r="D9" s="3">
        <v>440</v>
      </c>
      <c r="E9" s="4">
        <f t="shared" si="0"/>
        <v>1150</v>
      </c>
      <c r="F9" s="78" t="str">
        <f t="shared" ref="F9:F13" si="1">IF(E9&gt;$B$3,"done","not done")</f>
        <v>not done</v>
      </c>
      <c r="H9">
        <v>672</v>
      </c>
    </row>
    <row r="10" spans="1:11">
      <c r="A10" s="77" t="s">
        <v>12</v>
      </c>
      <c r="B10" s="3">
        <v>413</v>
      </c>
      <c r="C10" s="3">
        <v>428</v>
      </c>
      <c r="D10" s="3">
        <v>475</v>
      </c>
      <c r="E10" s="4">
        <f t="shared" si="0"/>
        <v>1316</v>
      </c>
      <c r="F10" s="78" t="str">
        <f t="shared" si="1"/>
        <v>done</v>
      </c>
      <c r="H10">
        <v>604</v>
      </c>
    </row>
    <row r="11" spans="1:11">
      <c r="A11" s="77" t="s">
        <v>13</v>
      </c>
      <c r="B11" s="3">
        <v>278</v>
      </c>
      <c r="C11" s="3">
        <v>340</v>
      </c>
      <c r="D11" s="3">
        <v>410</v>
      </c>
      <c r="E11" s="4">
        <f t="shared" si="0"/>
        <v>1028</v>
      </c>
      <c r="F11" s="78" t="str">
        <f t="shared" si="1"/>
        <v>not done</v>
      </c>
    </row>
    <row r="12" spans="1:11">
      <c r="A12" s="77" t="s">
        <v>14</v>
      </c>
      <c r="B12" s="3">
        <v>310</v>
      </c>
      <c r="C12" s="3">
        <v>370</v>
      </c>
      <c r="D12" s="3">
        <v>472</v>
      </c>
      <c r="E12" s="4">
        <f t="shared" si="0"/>
        <v>1152</v>
      </c>
      <c r="F12" s="78" t="str">
        <f t="shared" si="1"/>
        <v>not done</v>
      </c>
      <c r="H12">
        <f>IF(D8&gt;500,D8+100,"not crrect")</f>
        <v>650</v>
      </c>
    </row>
    <row r="13" spans="1:11">
      <c r="A13" s="77" t="s">
        <v>15</v>
      </c>
      <c r="B13" s="3">
        <v>438</v>
      </c>
      <c r="C13" s="3">
        <v>410</v>
      </c>
      <c r="D13" s="3">
        <v>504</v>
      </c>
      <c r="E13" s="4">
        <f t="shared" si="0"/>
        <v>1352</v>
      </c>
      <c r="F13" s="78" t="str">
        <f t="shared" si="1"/>
        <v>done</v>
      </c>
    </row>
    <row r="14" spans="1:11" ht="15" thickBot="1">
      <c r="A14" s="25"/>
      <c r="B14" s="24"/>
      <c r="C14" s="24"/>
      <c r="D14" s="24"/>
      <c r="E14" s="24"/>
      <c r="F14" s="23"/>
    </row>
    <row r="19" spans="1:11" ht="15" thickBot="1"/>
    <row r="20" spans="1:11">
      <c r="A20" s="73" t="s">
        <v>16</v>
      </c>
      <c r="B20" s="94"/>
      <c r="C20" s="94"/>
      <c r="D20" s="94"/>
      <c r="E20" s="79"/>
      <c r="F20" s="79"/>
      <c r="G20" s="79"/>
      <c r="H20" s="79"/>
      <c r="I20" s="79"/>
      <c r="J20" s="79"/>
      <c r="K20" s="87"/>
    </row>
    <row r="21" spans="1:11">
      <c r="A21" s="27" t="s">
        <v>17</v>
      </c>
      <c r="K21" s="88"/>
    </row>
    <row r="22" spans="1:11">
      <c r="A22" s="27"/>
      <c r="K22" s="88"/>
    </row>
    <row r="23" spans="1:11">
      <c r="A23" s="81" t="s">
        <v>18</v>
      </c>
      <c r="B23" s="65" t="s">
        <v>19</v>
      </c>
      <c r="C23" s="65" t="s">
        <v>20</v>
      </c>
      <c r="D23" s="65" t="s">
        <v>21</v>
      </c>
      <c r="E23" s="65" t="s">
        <v>22</v>
      </c>
      <c r="F23" s="65" t="s">
        <v>23</v>
      </c>
      <c r="G23" s="65" t="s">
        <v>24</v>
      </c>
      <c r="H23" s="65" t="s">
        <v>25</v>
      </c>
      <c r="I23" s="65" t="s">
        <v>26</v>
      </c>
      <c r="J23" s="65" t="s">
        <v>27</v>
      </c>
      <c r="K23" s="91" t="s">
        <v>28</v>
      </c>
    </row>
    <row r="24" spans="1:11">
      <c r="A24" s="82" t="s">
        <v>29</v>
      </c>
      <c r="B24" s="7">
        <v>20</v>
      </c>
      <c r="C24" s="7">
        <v>20</v>
      </c>
      <c r="D24" s="64">
        <v>12</v>
      </c>
      <c r="E24" s="64">
        <v>10</v>
      </c>
      <c r="F24" s="64">
        <v>20</v>
      </c>
      <c r="G24" s="64">
        <v>5</v>
      </c>
      <c r="H24" s="64">
        <v>20</v>
      </c>
      <c r="I24" s="64">
        <v>22</v>
      </c>
      <c r="J24" s="64">
        <v>5</v>
      </c>
      <c r="K24" s="89" t="str">
        <f>IF(AVERAGE(B24:J24)&gt;=25,SUM(B24:J24),"Average not achieved")</f>
        <v>Average not achieved</v>
      </c>
    </row>
    <row r="25" spans="1:11">
      <c r="A25" s="82" t="s">
        <v>30</v>
      </c>
      <c r="B25" s="7">
        <v>30</v>
      </c>
      <c r="C25" s="7">
        <v>10</v>
      </c>
      <c r="D25" s="64">
        <v>20</v>
      </c>
      <c r="E25" s="64">
        <v>20</v>
      </c>
      <c r="F25" s="64">
        <v>90</v>
      </c>
      <c r="G25" s="64">
        <v>6</v>
      </c>
      <c r="H25" s="64">
        <v>30</v>
      </c>
      <c r="I25" s="64">
        <v>25</v>
      </c>
      <c r="J25" s="64">
        <v>8</v>
      </c>
      <c r="K25" s="89">
        <f>IF(AVERAGE(B25:J25)&gt;=25,SUM(B25:J25),"Average not achieved")</f>
        <v>239</v>
      </c>
    </row>
    <row r="26" spans="1:11">
      <c r="A26" s="82" t="s">
        <v>31</v>
      </c>
      <c r="B26" s="7">
        <v>50</v>
      </c>
      <c r="C26" s="7">
        <v>10</v>
      </c>
      <c r="D26" s="64">
        <v>30</v>
      </c>
      <c r="E26" s="64">
        <v>12</v>
      </c>
      <c r="F26" s="64">
        <v>19</v>
      </c>
      <c r="G26" s="64">
        <v>9</v>
      </c>
      <c r="H26" s="64">
        <v>25</v>
      </c>
      <c r="I26" s="64">
        <v>28</v>
      </c>
      <c r="J26" s="64">
        <v>9</v>
      </c>
      <c r="K26" s="89" t="str">
        <f t="shared" ref="K26:K27" si="2">IF(AVERAGE(B26:J26)&gt;=25,SUM(B26:J26),"Average not achieved")</f>
        <v>Average not achieved</v>
      </c>
    </row>
    <row r="27" spans="1:11">
      <c r="A27" s="82" t="s">
        <v>32</v>
      </c>
      <c r="B27" s="7">
        <v>10</v>
      </c>
      <c r="C27" s="7">
        <v>40</v>
      </c>
      <c r="D27" s="64">
        <v>50</v>
      </c>
      <c r="E27" s="64">
        <v>13</v>
      </c>
      <c r="F27" s="64">
        <v>90</v>
      </c>
      <c r="G27" s="64">
        <v>12</v>
      </c>
      <c r="H27" s="64">
        <v>30</v>
      </c>
      <c r="I27" s="64">
        <v>29</v>
      </c>
      <c r="J27" s="64">
        <v>10</v>
      </c>
      <c r="K27" s="89">
        <f t="shared" si="2"/>
        <v>284</v>
      </c>
    </row>
    <row r="28" spans="1:11" ht="15" thickBot="1">
      <c r="A28" s="83"/>
      <c r="B28" s="84"/>
      <c r="C28" s="84"/>
      <c r="D28" s="85"/>
      <c r="E28" s="85"/>
      <c r="F28" s="85"/>
      <c r="G28" s="85"/>
      <c r="H28" s="85"/>
      <c r="I28" s="85"/>
      <c r="J28" s="85"/>
      <c r="K28" s="90"/>
    </row>
    <row r="29" spans="1:11">
      <c r="A29" s="66"/>
      <c r="B29" s="67"/>
      <c r="C29" s="67"/>
      <c r="D29" s="68"/>
      <c r="E29" s="68"/>
      <c r="F29" s="68"/>
      <c r="G29" s="68"/>
      <c r="H29" s="68"/>
      <c r="I29" s="68"/>
      <c r="J29" s="68"/>
    </row>
    <row r="31" spans="1:11" ht="15" thickBot="1"/>
    <row r="32" spans="1:11">
      <c r="A32" s="165" t="s">
        <v>33</v>
      </c>
      <c r="B32" s="166"/>
      <c r="C32" s="166"/>
      <c r="D32" s="79"/>
      <c r="E32" s="80"/>
    </row>
    <row r="33" spans="1:11" ht="15.5">
      <c r="A33" s="161" t="s">
        <v>34</v>
      </c>
      <c r="B33" s="69" t="s">
        <v>35</v>
      </c>
      <c r="C33" s="69" t="s">
        <v>36</v>
      </c>
      <c r="D33" s="95">
        <v>0.1</v>
      </c>
      <c r="E33" s="26"/>
    </row>
    <row r="34" spans="1:11">
      <c r="A34" s="162"/>
      <c r="B34" s="70" t="s">
        <v>37</v>
      </c>
      <c r="C34" s="70" t="s">
        <v>38</v>
      </c>
      <c r="D34" s="99" t="s">
        <v>39</v>
      </c>
      <c r="E34" s="100" t="s">
        <v>40</v>
      </c>
    </row>
    <row r="35" spans="1:11">
      <c r="A35" s="96" t="s">
        <v>41</v>
      </c>
      <c r="B35" s="39" t="s">
        <v>42</v>
      </c>
      <c r="C35" s="40">
        <v>2000</v>
      </c>
      <c r="D35" s="40">
        <f>IF(B35= "Yes",C35*$D$33,0)</f>
        <v>200</v>
      </c>
      <c r="E35" s="97">
        <f>C35-D35</f>
        <v>1800</v>
      </c>
    </row>
    <row r="36" spans="1:11">
      <c r="A36" s="96" t="s">
        <v>43</v>
      </c>
      <c r="B36" s="39" t="s">
        <v>44</v>
      </c>
      <c r="C36" s="40">
        <v>2000</v>
      </c>
      <c r="D36" s="40">
        <f t="shared" ref="D36:D38" si="3">IF(B36= "Yes",C36*$D$33,0)</f>
        <v>0</v>
      </c>
      <c r="E36" s="97">
        <f t="shared" ref="E36:E38" si="4">C36-D36</f>
        <v>2000</v>
      </c>
    </row>
    <row r="37" spans="1:11">
      <c r="A37" s="96" t="s">
        <v>45</v>
      </c>
      <c r="B37" s="39" t="s">
        <v>42</v>
      </c>
      <c r="C37" s="40">
        <v>500</v>
      </c>
      <c r="D37" s="40">
        <f t="shared" si="3"/>
        <v>50</v>
      </c>
      <c r="E37" s="97">
        <f t="shared" si="4"/>
        <v>450</v>
      </c>
    </row>
    <row r="38" spans="1:11">
      <c r="A38" s="96" t="s">
        <v>46</v>
      </c>
      <c r="B38" s="39" t="s">
        <v>42</v>
      </c>
      <c r="C38" s="40">
        <v>3000</v>
      </c>
      <c r="D38" s="40">
        <f t="shared" si="3"/>
        <v>300</v>
      </c>
      <c r="E38" s="97">
        <f t="shared" si="4"/>
        <v>2700</v>
      </c>
    </row>
    <row r="39" spans="1:11" ht="15" thickBot="1">
      <c r="A39" s="25"/>
      <c r="B39" s="24"/>
      <c r="C39" s="24"/>
      <c r="D39" s="98"/>
      <c r="E39" s="23"/>
    </row>
    <row r="41" spans="1:11">
      <c r="A41" s="8"/>
      <c r="B41" s="8"/>
      <c r="C41" s="9"/>
      <c r="D41" s="9"/>
      <c r="E41" s="9"/>
      <c r="F41" s="9"/>
    </row>
    <row r="42" spans="1:11">
      <c r="A42" s="8"/>
      <c r="B42" s="8"/>
      <c r="C42" s="9"/>
      <c r="D42" s="9"/>
      <c r="E42" s="9"/>
      <c r="F42" s="9"/>
    </row>
    <row r="43" spans="1:11" ht="15" thickBot="1">
      <c r="A43" s="8"/>
      <c r="B43" s="8"/>
      <c r="C43" s="9"/>
      <c r="D43" s="9"/>
      <c r="E43" s="9"/>
      <c r="F43" s="9"/>
    </row>
    <row r="44" spans="1:11" ht="18.5">
      <c r="A44" s="101" t="s">
        <v>47</v>
      </c>
      <c r="B44" s="102" t="s">
        <v>48</v>
      </c>
      <c r="C44" s="102" t="s">
        <v>49</v>
      </c>
      <c r="D44" s="102" t="s">
        <v>50</v>
      </c>
      <c r="E44" s="103"/>
      <c r="F44" s="104"/>
      <c r="G44" s="79"/>
      <c r="H44" s="79"/>
      <c r="I44" s="79"/>
      <c r="J44" s="163" t="s">
        <v>51</v>
      </c>
      <c r="K44" s="164"/>
    </row>
    <row r="45" spans="1:11">
      <c r="A45" s="105" t="s">
        <v>52</v>
      </c>
      <c r="B45" s="37">
        <v>60</v>
      </c>
      <c r="C45" s="38" t="str">
        <f>IF(B45&gt;=60,"pass","fail")</f>
        <v>pass</v>
      </c>
      <c r="D45" s="37" t="str">
        <f>IF(B45&gt;=90,"A",IF(B45&gt;=80,"B",IF(B45&gt;=70,"C",IF(B45&gt;=60,"D","F"))))</f>
        <v>D</v>
      </c>
      <c r="E45" s="106"/>
      <c r="F45" s="107"/>
      <c r="J45" s="36" t="s">
        <v>53</v>
      </c>
      <c r="K45" s="108" t="s">
        <v>54</v>
      </c>
    </row>
    <row r="46" spans="1:11">
      <c r="A46" s="105" t="s">
        <v>55</v>
      </c>
      <c r="B46" s="37">
        <v>92</v>
      </c>
      <c r="C46" s="38" t="str">
        <f t="shared" ref="C46:C63" si="5">IF(B46&gt;=60,"pass","fail")</f>
        <v>pass</v>
      </c>
      <c r="D46" s="37" t="str">
        <f t="shared" ref="D46:D63" si="6">IF(B46&gt;=90,"A",IF(B46&gt;=80,"B",IF(B46&gt;=70,"C",IF(B46&gt;=60,"D","F"))))</f>
        <v>A</v>
      </c>
      <c r="E46" s="106"/>
      <c r="F46" s="107"/>
      <c r="J46" s="36" t="s">
        <v>56</v>
      </c>
      <c r="K46" s="108" t="s">
        <v>57</v>
      </c>
    </row>
    <row r="47" spans="1:11">
      <c r="A47" s="105" t="s">
        <v>58</v>
      </c>
      <c r="B47" s="37">
        <v>84</v>
      </c>
      <c r="C47" s="38" t="str">
        <f t="shared" si="5"/>
        <v>pass</v>
      </c>
      <c r="D47" s="37" t="str">
        <f t="shared" si="6"/>
        <v>B</v>
      </c>
      <c r="E47" s="106"/>
      <c r="F47" s="107"/>
      <c r="J47" s="36" t="s">
        <v>59</v>
      </c>
      <c r="K47" s="108" t="s">
        <v>60</v>
      </c>
    </row>
    <row r="48" spans="1:11">
      <c r="A48" s="105" t="s">
        <v>61</v>
      </c>
      <c r="B48" s="37">
        <v>69</v>
      </c>
      <c r="C48" s="38" t="str">
        <f t="shared" si="5"/>
        <v>pass</v>
      </c>
      <c r="D48" s="37" t="str">
        <f t="shared" si="6"/>
        <v>D</v>
      </c>
      <c r="E48" s="106"/>
      <c r="F48" s="107"/>
      <c r="J48" s="36" t="s">
        <v>62</v>
      </c>
      <c r="K48" s="108" t="s">
        <v>63</v>
      </c>
    </row>
    <row r="49" spans="1:11">
      <c r="A49" s="105" t="s">
        <v>64</v>
      </c>
      <c r="B49" s="37">
        <v>83</v>
      </c>
      <c r="C49" s="38" t="str">
        <f t="shared" si="5"/>
        <v>pass</v>
      </c>
      <c r="D49" s="37" t="str">
        <f t="shared" si="6"/>
        <v>B</v>
      </c>
      <c r="E49" s="106"/>
      <c r="F49" s="107"/>
      <c r="J49" s="36" t="s">
        <v>65</v>
      </c>
      <c r="K49" s="108" t="s">
        <v>66</v>
      </c>
    </row>
    <row r="50" spans="1:11">
      <c r="A50" s="105" t="s">
        <v>67</v>
      </c>
      <c r="B50" s="37">
        <v>87</v>
      </c>
      <c r="C50" s="38" t="str">
        <f t="shared" si="5"/>
        <v>pass</v>
      </c>
      <c r="D50" s="37" t="str">
        <f t="shared" si="6"/>
        <v>B</v>
      </c>
      <c r="E50" s="106"/>
      <c r="F50" s="107"/>
      <c r="G50" s="107"/>
      <c r="H50" s="107"/>
      <c r="K50" s="88"/>
    </row>
    <row r="51" spans="1:11">
      <c r="A51" s="105" t="s">
        <v>68</v>
      </c>
      <c r="B51" s="37">
        <v>91</v>
      </c>
      <c r="C51" s="38" t="str">
        <f t="shared" si="5"/>
        <v>pass</v>
      </c>
      <c r="D51" s="37" t="str">
        <f t="shared" si="6"/>
        <v>A</v>
      </c>
      <c r="E51" s="106"/>
      <c r="F51" s="107"/>
      <c r="G51" s="107"/>
      <c r="H51" s="107"/>
      <c r="K51" s="88"/>
    </row>
    <row r="52" spans="1:11">
      <c r="A52" s="105" t="s">
        <v>69</v>
      </c>
      <c r="B52" s="37">
        <v>95</v>
      </c>
      <c r="C52" s="38" t="str">
        <f t="shared" si="5"/>
        <v>pass</v>
      </c>
      <c r="D52" s="37" t="str">
        <f t="shared" si="6"/>
        <v>A</v>
      </c>
      <c r="E52" s="106"/>
      <c r="F52" s="107"/>
      <c r="G52" s="107"/>
      <c r="H52" s="107"/>
      <c r="K52" s="88"/>
    </row>
    <row r="53" spans="1:11">
      <c r="A53" s="105" t="s">
        <v>70</v>
      </c>
      <c r="B53" s="37">
        <v>59</v>
      </c>
      <c r="C53" s="38" t="str">
        <f t="shared" si="5"/>
        <v>fail</v>
      </c>
      <c r="D53" s="37" t="str">
        <f t="shared" si="6"/>
        <v>F</v>
      </c>
      <c r="E53" s="106"/>
      <c r="F53" s="107"/>
      <c r="G53" s="107"/>
      <c r="H53" s="107"/>
      <c r="K53" s="88"/>
    </row>
    <row r="54" spans="1:11">
      <c r="A54" s="105" t="s">
        <v>71</v>
      </c>
      <c r="B54" s="37">
        <v>65</v>
      </c>
      <c r="C54" s="38" t="str">
        <f t="shared" si="5"/>
        <v>pass</v>
      </c>
      <c r="D54" s="37" t="str">
        <f t="shared" si="6"/>
        <v>D</v>
      </c>
      <c r="E54" s="106"/>
      <c r="F54" s="107"/>
      <c r="G54" s="107"/>
      <c r="H54" s="107"/>
      <c r="K54" s="88"/>
    </row>
    <row r="55" spans="1:11">
      <c r="A55" s="105" t="s">
        <v>72</v>
      </c>
      <c r="B55" s="37">
        <v>58</v>
      </c>
      <c r="C55" s="38" t="str">
        <f t="shared" si="5"/>
        <v>fail</v>
      </c>
      <c r="D55" s="37" t="str">
        <f t="shared" si="6"/>
        <v>F</v>
      </c>
      <c r="E55" s="106"/>
      <c r="F55" s="107"/>
      <c r="G55" s="107"/>
      <c r="H55" s="107"/>
      <c r="K55" s="88"/>
    </row>
    <row r="56" spans="1:11">
      <c r="A56" s="105" t="s">
        <v>73</v>
      </c>
      <c r="B56" s="37">
        <v>86</v>
      </c>
      <c r="C56" s="38" t="str">
        <f t="shared" si="5"/>
        <v>pass</v>
      </c>
      <c r="D56" s="37" t="str">
        <f t="shared" si="6"/>
        <v>B</v>
      </c>
      <c r="E56" s="106"/>
      <c r="F56" s="107"/>
      <c r="G56" s="107"/>
      <c r="H56" s="107"/>
      <c r="K56" s="88"/>
    </row>
    <row r="57" spans="1:11">
      <c r="A57" s="105" t="s">
        <v>74</v>
      </c>
      <c r="B57" s="37">
        <v>83</v>
      </c>
      <c r="C57" s="38" t="str">
        <f t="shared" si="5"/>
        <v>pass</v>
      </c>
      <c r="D57" s="37" t="str">
        <f t="shared" si="6"/>
        <v>B</v>
      </c>
      <c r="E57" s="106"/>
      <c r="F57" s="107"/>
      <c r="G57" s="107"/>
      <c r="H57" s="107"/>
      <c r="K57" s="88"/>
    </row>
    <row r="58" spans="1:11">
      <c r="A58" s="105" t="s">
        <v>75</v>
      </c>
      <c r="B58" s="37">
        <v>68</v>
      </c>
      <c r="C58" s="38" t="str">
        <f t="shared" si="5"/>
        <v>pass</v>
      </c>
      <c r="D58" s="37" t="str">
        <f t="shared" si="6"/>
        <v>D</v>
      </c>
      <c r="E58" s="106"/>
      <c r="F58" s="107"/>
      <c r="G58" s="107"/>
      <c r="H58" s="107"/>
      <c r="K58" s="88"/>
    </row>
    <row r="59" spans="1:11">
      <c r="A59" s="105" t="s">
        <v>76</v>
      </c>
      <c r="B59" s="37">
        <v>90</v>
      </c>
      <c r="C59" s="38" t="str">
        <f t="shared" si="5"/>
        <v>pass</v>
      </c>
      <c r="D59" s="37" t="str">
        <f t="shared" si="6"/>
        <v>A</v>
      </c>
      <c r="E59" s="106"/>
      <c r="F59" s="107"/>
      <c r="G59" s="107"/>
      <c r="H59" s="107"/>
      <c r="K59" s="88"/>
    </row>
    <row r="60" spans="1:11">
      <c r="A60" s="105" t="s">
        <v>77</v>
      </c>
      <c r="B60" s="37">
        <v>95</v>
      </c>
      <c r="C60" s="38" t="str">
        <f t="shared" si="5"/>
        <v>pass</v>
      </c>
      <c r="D60" s="37" t="str">
        <f t="shared" si="6"/>
        <v>A</v>
      </c>
      <c r="E60" s="106"/>
      <c r="F60" s="107"/>
      <c r="G60" s="107"/>
      <c r="H60" s="107"/>
      <c r="K60" s="88"/>
    </row>
    <row r="61" spans="1:11">
      <c r="A61" s="105" t="s">
        <v>78</v>
      </c>
      <c r="B61" s="37">
        <v>61</v>
      </c>
      <c r="C61" s="38" t="str">
        <f t="shared" si="5"/>
        <v>pass</v>
      </c>
      <c r="D61" s="37" t="str">
        <f t="shared" si="6"/>
        <v>D</v>
      </c>
      <c r="E61" s="106"/>
      <c r="F61" s="107"/>
      <c r="G61" s="107"/>
      <c r="H61" s="107"/>
      <c r="K61" s="88"/>
    </row>
    <row r="62" spans="1:11">
      <c r="A62" s="105" t="s">
        <v>79</v>
      </c>
      <c r="B62" s="37">
        <v>77</v>
      </c>
      <c r="C62" s="38" t="str">
        <f t="shared" si="5"/>
        <v>pass</v>
      </c>
      <c r="D62" s="37" t="str">
        <f t="shared" si="6"/>
        <v>C</v>
      </c>
      <c r="E62" s="106"/>
      <c r="F62" s="107"/>
      <c r="G62" s="107"/>
      <c r="H62" s="107"/>
      <c r="K62" s="88"/>
    </row>
    <row r="63" spans="1:11" ht="15" thickBot="1">
      <c r="A63" s="109" t="s">
        <v>80</v>
      </c>
      <c r="B63" s="110">
        <v>56</v>
      </c>
      <c r="C63" s="38" t="str">
        <f t="shared" si="5"/>
        <v>fail</v>
      </c>
      <c r="D63" s="37" t="str">
        <f t="shared" si="6"/>
        <v>F</v>
      </c>
      <c r="E63" s="111"/>
      <c r="F63" s="112"/>
      <c r="G63" s="112"/>
      <c r="H63" s="112"/>
      <c r="I63" s="24"/>
      <c r="J63" s="24"/>
      <c r="K63" s="90"/>
    </row>
    <row r="64" spans="1:11">
      <c r="A64" s="107"/>
      <c r="B64" s="106"/>
      <c r="C64" s="142"/>
      <c r="D64" s="106"/>
      <c r="E64" s="106"/>
      <c r="F64" s="107"/>
      <c r="G64" s="107"/>
      <c r="H64" s="107"/>
    </row>
    <row r="65" spans="1:11">
      <c r="A65" s="107"/>
      <c r="B65" s="106"/>
      <c r="C65" s="142"/>
      <c r="D65" s="106"/>
      <c r="E65" s="106"/>
      <c r="F65" s="107"/>
      <c r="G65" s="107"/>
      <c r="H65" s="107"/>
    </row>
    <row r="66" spans="1:11">
      <c r="A66" s="107"/>
      <c r="B66" s="106"/>
      <c r="C66" s="142"/>
      <c r="D66" s="106"/>
      <c r="E66" s="106"/>
      <c r="F66" s="107"/>
      <c r="G66" s="107"/>
      <c r="H66" s="107"/>
    </row>
    <row r="67" spans="1:11">
      <c r="A67" s="107"/>
      <c r="B67" s="106"/>
      <c r="C67" s="142"/>
      <c r="D67" s="106"/>
      <c r="E67" s="106"/>
      <c r="F67" s="107"/>
      <c r="G67" s="107"/>
      <c r="H67" s="107"/>
    </row>
    <row r="68" spans="1:11">
      <c r="A68" s="107"/>
      <c r="B68" s="106"/>
      <c r="C68" s="142"/>
      <c r="D68" s="106"/>
      <c r="E68" s="106"/>
      <c r="F68" s="107"/>
      <c r="G68" s="107"/>
      <c r="H68" s="107"/>
    </row>
    <row r="69" spans="1:11" ht="15" thickBot="1">
      <c r="A69" s="8"/>
      <c r="B69" s="8"/>
      <c r="C69" s="9"/>
      <c r="D69" s="9"/>
      <c r="E69" s="9"/>
      <c r="F69" s="9"/>
    </row>
    <row r="70" spans="1:11">
      <c r="A70" s="114"/>
      <c r="B70" s="79"/>
      <c r="C70" s="79"/>
      <c r="D70" s="79"/>
      <c r="E70" s="79"/>
      <c r="F70" s="79"/>
      <c r="G70" s="79"/>
      <c r="H70" s="79"/>
      <c r="I70" s="79"/>
      <c r="J70" s="79"/>
      <c r="K70" s="87"/>
    </row>
    <row r="71" spans="1:11">
      <c r="A71" s="27"/>
      <c r="K71" s="88"/>
    </row>
    <row r="72" spans="1:11">
      <c r="A72" s="27"/>
      <c r="K72" s="88"/>
    </row>
    <row r="73" spans="1:11">
      <c r="A73" s="27"/>
      <c r="K73" s="88"/>
    </row>
    <row r="74" spans="1:11">
      <c r="A74" s="27"/>
      <c r="K74" s="88"/>
    </row>
    <row r="75" spans="1:11">
      <c r="A75" s="27"/>
      <c r="K75" s="88"/>
    </row>
    <row r="76" spans="1:11">
      <c r="A76" s="27"/>
      <c r="K76" s="88"/>
    </row>
    <row r="77" spans="1:11" ht="26">
      <c r="A77" s="115" t="s">
        <v>81</v>
      </c>
      <c r="B77" s="42" t="s">
        <v>82</v>
      </c>
      <c r="C77" s="42" t="s">
        <v>83</v>
      </c>
      <c r="D77" s="42" t="s">
        <v>84</v>
      </c>
      <c r="E77" s="42" t="s">
        <v>85</v>
      </c>
      <c r="F77" s="42" t="s">
        <v>86</v>
      </c>
      <c r="G77" s="120" t="s">
        <v>87</v>
      </c>
      <c r="H77" s="120" t="s">
        <v>88</v>
      </c>
      <c r="I77" s="121" t="s">
        <v>89</v>
      </c>
      <c r="K77" s="88"/>
    </row>
    <row r="78" spans="1:11">
      <c r="A78" s="116">
        <v>1001</v>
      </c>
      <c r="B78" s="5" t="s">
        <v>90</v>
      </c>
      <c r="C78" s="6">
        <v>43661</v>
      </c>
      <c r="D78" s="5" t="s">
        <v>91</v>
      </c>
      <c r="E78" s="5" t="s">
        <v>92</v>
      </c>
      <c r="F78" s="5">
        <v>12000</v>
      </c>
      <c r="G78" s="113">
        <f>IF(D78=$D$80,20%*F78,IF(D78=$D$82,15%*F78,0))</f>
        <v>2400</v>
      </c>
      <c r="H78" s="122">
        <f>IF(F78&gt;10000,IF(E78=$E$78,500,IF(E78=$E$79,1500,IF(E78=$E$80,700,IF(E78=$E$83,2500,0)))),0)</f>
        <v>500</v>
      </c>
      <c r="I78" s="2">
        <f>SUM(F78:H78)</f>
        <v>14900</v>
      </c>
      <c r="K78" s="88"/>
    </row>
    <row r="79" spans="1:11">
      <c r="A79" s="116">
        <v>1002</v>
      </c>
      <c r="B79" s="5" t="s">
        <v>93</v>
      </c>
      <c r="C79" s="6">
        <v>40426</v>
      </c>
      <c r="D79" s="5" t="s">
        <v>94</v>
      </c>
      <c r="E79" s="5" t="s">
        <v>95</v>
      </c>
      <c r="F79" s="5">
        <v>20000</v>
      </c>
      <c r="G79" s="113">
        <f>IF(D79=$D$80,20%*F79,IF(D79=$D$82,15%*F79,0))</f>
        <v>0</v>
      </c>
      <c r="H79" s="122">
        <f t="shared" ref="H79:H86" si="7">IF(F79&gt;10000,IF(E79=$E$78,500,IF(E79=$E$79,1500,IF(E79=$E$80,700,IF(E79=$E$83,2500,0)))),0)</f>
        <v>1500</v>
      </c>
      <c r="I79" s="2">
        <f t="shared" ref="I79:I86" si="8">SUM(F79:H79)</f>
        <v>21500</v>
      </c>
      <c r="K79" s="88"/>
    </row>
    <row r="80" spans="1:11">
      <c r="A80" s="116">
        <v>1003</v>
      </c>
      <c r="B80" s="5" t="s">
        <v>96</v>
      </c>
      <c r="C80" s="6">
        <v>36982</v>
      </c>
      <c r="D80" s="5" t="s">
        <v>91</v>
      </c>
      <c r="E80" s="5" t="s">
        <v>97</v>
      </c>
      <c r="F80" s="5">
        <v>5000</v>
      </c>
      <c r="G80" s="113">
        <f t="shared" ref="G80:G86" si="9">IF(D80=$D$80,20%*F80,IF(D80=$D$82,15%*F80,0))</f>
        <v>1000</v>
      </c>
      <c r="H80" s="122">
        <f t="shared" si="7"/>
        <v>0</v>
      </c>
      <c r="I80" s="2">
        <f t="shared" si="8"/>
        <v>6000</v>
      </c>
      <c r="K80" s="88"/>
    </row>
    <row r="81" spans="1:11">
      <c r="A81" s="116">
        <v>1004</v>
      </c>
      <c r="B81" s="5" t="s">
        <v>98</v>
      </c>
      <c r="C81" s="6">
        <v>43966</v>
      </c>
      <c r="D81" s="5" t="s">
        <v>99</v>
      </c>
      <c r="E81" s="5" t="s">
        <v>100</v>
      </c>
      <c r="F81" s="5">
        <v>8000</v>
      </c>
      <c r="G81" s="113">
        <f t="shared" si="9"/>
        <v>0</v>
      </c>
      <c r="H81" s="122">
        <f t="shared" si="7"/>
        <v>0</v>
      </c>
      <c r="I81" s="2">
        <f t="shared" si="8"/>
        <v>8000</v>
      </c>
      <c r="K81" s="88"/>
    </row>
    <row r="82" spans="1:11">
      <c r="A82" s="116">
        <v>1005</v>
      </c>
      <c r="B82" s="5" t="s">
        <v>101</v>
      </c>
      <c r="C82" s="6">
        <v>42064</v>
      </c>
      <c r="D82" s="5" t="s">
        <v>102</v>
      </c>
      <c r="E82" s="5" t="s">
        <v>92</v>
      </c>
      <c r="F82" s="5">
        <v>7000</v>
      </c>
      <c r="G82" s="113">
        <f t="shared" si="9"/>
        <v>1050</v>
      </c>
      <c r="H82" s="122">
        <f t="shared" si="7"/>
        <v>0</v>
      </c>
      <c r="I82" s="2">
        <f t="shared" si="8"/>
        <v>8050</v>
      </c>
      <c r="K82" s="88"/>
    </row>
    <row r="83" spans="1:11">
      <c r="A83" s="116">
        <v>1006</v>
      </c>
      <c r="B83" s="5" t="s">
        <v>103</v>
      </c>
      <c r="C83" s="6">
        <v>37834</v>
      </c>
      <c r="D83" s="5" t="s">
        <v>104</v>
      </c>
      <c r="E83" s="5" t="s">
        <v>105</v>
      </c>
      <c r="F83" s="5">
        <v>15000</v>
      </c>
      <c r="G83" s="113">
        <f t="shared" si="9"/>
        <v>0</v>
      </c>
      <c r="H83" s="122">
        <f t="shared" si="7"/>
        <v>2500</v>
      </c>
      <c r="I83" s="2">
        <f t="shared" si="8"/>
        <v>17500</v>
      </c>
      <c r="K83" s="88"/>
    </row>
    <row r="84" spans="1:11">
      <c r="A84" s="116">
        <v>1007</v>
      </c>
      <c r="B84" s="5" t="s">
        <v>106</v>
      </c>
      <c r="C84" s="6">
        <v>33664</v>
      </c>
      <c r="D84" s="5" t="s">
        <v>104</v>
      </c>
      <c r="E84" s="5" t="s">
        <v>95</v>
      </c>
      <c r="F84" s="5">
        <v>9000</v>
      </c>
      <c r="G84" s="113">
        <f t="shared" si="9"/>
        <v>0</v>
      </c>
      <c r="H84" s="122">
        <f t="shared" si="7"/>
        <v>0</v>
      </c>
      <c r="I84" s="2">
        <f t="shared" si="8"/>
        <v>9000</v>
      </c>
      <c r="K84" s="88"/>
    </row>
    <row r="85" spans="1:11">
      <c r="A85" s="116">
        <v>1008</v>
      </c>
      <c r="B85" s="5" t="s">
        <v>107</v>
      </c>
      <c r="C85" s="6">
        <v>37941</v>
      </c>
      <c r="D85" s="5" t="s">
        <v>108</v>
      </c>
      <c r="E85" s="5" t="s">
        <v>105</v>
      </c>
      <c r="F85" s="5">
        <v>6000</v>
      </c>
      <c r="G85" s="113">
        <f t="shared" si="9"/>
        <v>0</v>
      </c>
      <c r="H85" s="122">
        <f t="shared" si="7"/>
        <v>0</v>
      </c>
      <c r="I85" s="2">
        <f t="shared" si="8"/>
        <v>6000</v>
      </c>
      <c r="K85" s="88"/>
    </row>
    <row r="86" spans="1:11" ht="15" thickBot="1">
      <c r="A86" s="117">
        <v>1009</v>
      </c>
      <c r="B86" s="118" t="s">
        <v>109</v>
      </c>
      <c r="C86" s="119">
        <v>40313</v>
      </c>
      <c r="D86" s="118" t="s">
        <v>102</v>
      </c>
      <c r="E86" s="118" t="s">
        <v>97</v>
      </c>
      <c r="F86" s="118">
        <v>25000</v>
      </c>
      <c r="G86" s="113">
        <f t="shared" si="9"/>
        <v>3750</v>
      </c>
      <c r="H86" s="122">
        <f t="shared" si="7"/>
        <v>700</v>
      </c>
      <c r="I86" s="2">
        <f t="shared" si="8"/>
        <v>29450</v>
      </c>
      <c r="J86" s="24"/>
      <c r="K86" s="90"/>
    </row>
  </sheetData>
  <mergeCells count="4">
    <mergeCell ref="A1:H1"/>
    <mergeCell ref="A33:A34"/>
    <mergeCell ref="J44:K44"/>
    <mergeCell ref="A32:C32"/>
  </mergeCells>
  <phoneticPr fontId="6" type="noConversion"/>
  <pageMargins left="0.7" right="0.7" top="0.75" bottom="0.75" header="0.3" footer="0.3"/>
  <pageSetup orientation="portrait" horizontalDpi="4294967292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"/>
  <sheetViews>
    <sheetView zoomScale="52" workbookViewId="0">
      <selection activeCell="I19" sqref="I19"/>
    </sheetView>
  </sheetViews>
  <sheetFormatPr defaultRowHeight="14.5"/>
  <cols>
    <col min="1" max="1" width="19.7265625" bestFit="1" customWidth="1"/>
    <col min="2" max="3" width="11.54296875" bestFit="1" customWidth="1"/>
    <col min="7" max="7" width="17.81640625" bestFit="1" customWidth="1"/>
    <col min="8" max="8" width="10.1796875" customWidth="1"/>
    <col min="9" max="9" width="10.81640625" style="156" bestFit="1" customWidth="1"/>
    <col min="14" max="14" width="17.81640625" bestFit="1" customWidth="1"/>
    <col min="15" max="15" width="7" bestFit="1" customWidth="1"/>
  </cols>
  <sheetData>
    <row r="1" spans="1:8" ht="21">
      <c r="A1" s="44" t="s">
        <v>110</v>
      </c>
      <c r="B1" s="10"/>
    </row>
    <row r="3" spans="1:8" ht="34.5" customHeight="1">
      <c r="A3" s="167" t="s">
        <v>111</v>
      </c>
      <c r="B3" s="167"/>
      <c r="C3" s="167"/>
      <c r="D3" s="167"/>
      <c r="E3" s="167"/>
      <c r="F3" s="167"/>
    </row>
    <row r="5" spans="1:8" ht="18.5">
      <c r="A5" s="41" t="s">
        <v>47</v>
      </c>
      <c r="B5" s="41" t="s">
        <v>112</v>
      </c>
      <c r="C5" s="41" t="s">
        <v>113</v>
      </c>
      <c r="D5" s="41" t="s">
        <v>114</v>
      </c>
      <c r="E5" s="41" t="s">
        <v>115</v>
      </c>
      <c r="F5" s="131" t="s">
        <v>116</v>
      </c>
    </row>
    <row r="6" spans="1:8">
      <c r="A6" s="43" t="s">
        <v>117</v>
      </c>
      <c r="B6" s="43">
        <v>87</v>
      </c>
      <c r="C6" s="43">
        <v>83</v>
      </c>
      <c r="D6" s="43">
        <v>70</v>
      </c>
      <c r="E6" s="43">
        <v>80</v>
      </c>
      <c r="F6" s="43">
        <f>IF(OR(B6&gt;=95,C6&gt;=95,D6&gt;=95,E6&gt;=95),1%*SUM(B6:E6),0)</f>
        <v>0</v>
      </c>
    </row>
    <row r="7" spans="1:8">
      <c r="A7" s="43" t="s">
        <v>118</v>
      </c>
      <c r="B7" s="43">
        <v>77</v>
      </c>
      <c r="C7" s="43">
        <v>72</v>
      </c>
      <c r="D7" s="43">
        <v>74</v>
      </c>
      <c r="E7" s="43">
        <v>97</v>
      </c>
      <c r="F7" s="43">
        <f t="shared" ref="F7:F11" si="0">IF(OR(B7&gt;=95,C7&gt;=95,D7&gt;=95,E7&gt;=95),1%*SUM(B7:E7),0)</f>
        <v>3.2</v>
      </c>
    </row>
    <row r="8" spans="1:8">
      <c r="A8" s="43" t="s">
        <v>119</v>
      </c>
      <c r="B8" s="43">
        <v>80</v>
      </c>
      <c r="C8" s="43">
        <v>95</v>
      </c>
      <c r="D8" s="43">
        <v>79</v>
      </c>
      <c r="E8" s="43">
        <v>75</v>
      </c>
      <c r="F8" s="43">
        <f t="shared" si="0"/>
        <v>3.29</v>
      </c>
    </row>
    <row r="9" spans="1:8">
      <c r="A9" s="43" t="s">
        <v>120</v>
      </c>
      <c r="B9" s="43">
        <v>82</v>
      </c>
      <c r="C9" s="43">
        <v>87</v>
      </c>
      <c r="D9" s="43">
        <v>96</v>
      </c>
      <c r="E9" s="43">
        <v>88</v>
      </c>
      <c r="F9" s="43">
        <f t="shared" si="0"/>
        <v>3.5300000000000002</v>
      </c>
    </row>
    <row r="10" spans="1:8">
      <c r="A10" s="43" t="s">
        <v>121</v>
      </c>
      <c r="B10" s="43">
        <v>78</v>
      </c>
      <c r="C10" s="43">
        <v>94</v>
      </c>
      <c r="D10" s="43">
        <v>81</v>
      </c>
      <c r="E10" s="43">
        <v>79</v>
      </c>
      <c r="F10" s="43">
        <f t="shared" si="0"/>
        <v>0</v>
      </c>
    </row>
    <row r="11" spans="1:8">
      <c r="A11" s="43" t="s">
        <v>122</v>
      </c>
      <c r="B11" s="43">
        <v>75</v>
      </c>
      <c r="C11" s="43">
        <v>83</v>
      </c>
      <c r="D11" s="43">
        <v>80</v>
      </c>
      <c r="E11" s="43">
        <v>72</v>
      </c>
      <c r="F11" s="43">
        <f t="shared" si="0"/>
        <v>0</v>
      </c>
    </row>
    <row r="15" spans="1:8">
      <c r="A15" s="2" t="s">
        <v>123</v>
      </c>
      <c r="B15" s="46">
        <v>0.12</v>
      </c>
      <c r="G15" s="71" t="s">
        <v>123</v>
      </c>
      <c r="H15" s="72">
        <v>0.12</v>
      </c>
    </row>
    <row r="16" spans="1:8">
      <c r="A16" s="2" t="s">
        <v>124</v>
      </c>
      <c r="B16" s="138">
        <v>100000</v>
      </c>
      <c r="G16" s="71" t="s">
        <v>124</v>
      </c>
      <c r="H16" s="154">
        <v>100000</v>
      </c>
    </row>
    <row r="17" spans="1:9">
      <c r="A17" s="2" t="s">
        <v>125</v>
      </c>
      <c r="B17" s="138">
        <v>200000</v>
      </c>
      <c r="G17" s="71" t="s">
        <v>125</v>
      </c>
      <c r="H17" s="154">
        <v>200000</v>
      </c>
    </row>
    <row r="18" spans="1:9">
      <c r="B18" s="45" t="s">
        <v>126</v>
      </c>
      <c r="C18" s="132" t="s">
        <v>116</v>
      </c>
      <c r="H18" s="45" t="s">
        <v>126</v>
      </c>
      <c r="I18" s="157" t="s">
        <v>116</v>
      </c>
    </row>
    <row r="19" spans="1:9">
      <c r="A19" s="2" t="s">
        <v>127</v>
      </c>
      <c r="B19" s="138">
        <v>87925</v>
      </c>
      <c r="C19" s="141">
        <f>IF(AND($B$16&lt;=B19,$B$17&gt;=B19),$B$15*B19,0)</f>
        <v>0</v>
      </c>
      <c r="G19" s="2" t="s">
        <v>127</v>
      </c>
      <c r="H19" s="139">
        <v>87925</v>
      </c>
      <c r="I19" s="158">
        <f>IF(OR(H19 &lt;$H$16,H19 &gt;$H$17), 0,$H$15*H19)</f>
        <v>0</v>
      </c>
    </row>
    <row r="20" spans="1:9" ht="15" customHeight="1">
      <c r="A20" s="2" t="s">
        <v>128</v>
      </c>
      <c r="B20" s="138">
        <v>100000</v>
      </c>
      <c r="C20" s="141">
        <f>IF(AND($B$16&lt;=B20,$B$17&gt;=B20),$B$15*B20,0)</f>
        <v>12000</v>
      </c>
      <c r="G20" s="2" t="s">
        <v>128</v>
      </c>
      <c r="H20" s="139">
        <v>100000</v>
      </c>
      <c r="I20" s="158">
        <f>IF(OR(H20 &lt;$H$16,H20 &gt;$H$17), 0,$H$15*H20)</f>
        <v>12000</v>
      </c>
    </row>
    <row r="21" spans="1:9">
      <c r="A21" s="2" t="s">
        <v>129</v>
      </c>
      <c r="B21" s="138">
        <v>145000</v>
      </c>
      <c r="C21" s="141">
        <f t="shared" ref="C20:C28" si="1">IF(AND($B$16&lt;=B21,$B$17&gt;=B21),$B$15*B21,0)</f>
        <v>17400</v>
      </c>
      <c r="G21" s="2" t="s">
        <v>129</v>
      </c>
      <c r="H21" s="139">
        <v>145000</v>
      </c>
      <c r="I21" s="158">
        <f t="shared" ref="I21:I28" si="2">IF(OR(H21 &lt;$H$16,H21 &gt;$H$17), 0,$H$15*H21)</f>
        <v>17400</v>
      </c>
    </row>
    <row r="22" spans="1:9">
      <c r="A22" s="2" t="s">
        <v>130</v>
      </c>
      <c r="B22" s="138">
        <v>200000</v>
      </c>
      <c r="C22" s="141">
        <f t="shared" si="1"/>
        <v>24000</v>
      </c>
      <c r="G22" s="2" t="s">
        <v>130</v>
      </c>
      <c r="H22" s="139">
        <v>200000</v>
      </c>
      <c r="I22" s="158">
        <f t="shared" si="2"/>
        <v>24000</v>
      </c>
    </row>
    <row r="23" spans="1:9">
      <c r="A23" s="2" t="s">
        <v>131</v>
      </c>
      <c r="B23" s="138">
        <v>178650</v>
      </c>
      <c r="C23" s="141">
        <f t="shared" si="1"/>
        <v>21438</v>
      </c>
      <c r="G23" s="2" t="s">
        <v>131</v>
      </c>
      <c r="H23" s="139">
        <v>178650</v>
      </c>
      <c r="I23" s="158">
        <f t="shared" si="2"/>
        <v>21438</v>
      </c>
    </row>
    <row r="24" spans="1:9">
      <c r="A24" s="2" t="s">
        <v>132</v>
      </c>
      <c r="B24" s="138">
        <v>99555</v>
      </c>
      <c r="C24" s="141">
        <f t="shared" si="1"/>
        <v>0</v>
      </c>
      <c r="G24" s="2" t="s">
        <v>132</v>
      </c>
      <c r="H24" s="139">
        <v>99555</v>
      </c>
      <c r="I24" s="158">
        <f t="shared" si="2"/>
        <v>0</v>
      </c>
    </row>
    <row r="25" spans="1:9">
      <c r="A25" s="2" t="s">
        <v>133</v>
      </c>
      <c r="B25" s="138">
        <v>147000</v>
      </c>
      <c r="C25" s="141">
        <f t="shared" si="1"/>
        <v>17640</v>
      </c>
      <c r="G25" s="2" t="s">
        <v>133</v>
      </c>
      <c r="H25" s="139">
        <v>147000</v>
      </c>
      <c r="I25" s="158">
        <f t="shared" si="2"/>
        <v>17640</v>
      </c>
    </row>
    <row r="26" spans="1:9">
      <c r="A26" s="2" t="s">
        <v>134</v>
      </c>
      <c r="B26" s="138">
        <v>213450</v>
      </c>
      <c r="C26" s="141">
        <f t="shared" si="1"/>
        <v>0</v>
      </c>
      <c r="G26" s="2" t="s">
        <v>134</v>
      </c>
      <c r="H26" s="139">
        <v>213450</v>
      </c>
      <c r="I26" s="158">
        <f t="shared" si="2"/>
        <v>0</v>
      </c>
    </row>
    <row r="27" spans="1:9">
      <c r="A27" s="2" t="s">
        <v>135</v>
      </c>
      <c r="B27" s="138">
        <v>122680</v>
      </c>
      <c r="C27" s="141">
        <f t="shared" si="1"/>
        <v>14721.6</v>
      </c>
      <c r="G27" s="2" t="s">
        <v>135</v>
      </c>
      <c r="H27" s="139">
        <v>122680</v>
      </c>
      <c r="I27" s="158">
        <f t="shared" si="2"/>
        <v>14721.6</v>
      </c>
    </row>
    <row r="28" spans="1:9">
      <c r="A28" s="2" t="s">
        <v>136</v>
      </c>
      <c r="B28" s="138">
        <v>92500</v>
      </c>
      <c r="C28" s="141">
        <f t="shared" si="1"/>
        <v>0</v>
      </c>
      <c r="G28" s="2" t="s">
        <v>136</v>
      </c>
      <c r="H28" s="139">
        <v>92500</v>
      </c>
      <c r="I28" s="158">
        <f t="shared" si="2"/>
        <v>0</v>
      </c>
    </row>
    <row r="33" spans="19:19" ht="18.5">
      <c r="S33" s="12"/>
    </row>
  </sheetData>
  <mergeCells count="1">
    <mergeCell ref="A3:F3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"/>
  <sheetViews>
    <sheetView topLeftCell="A11" zoomScale="48" zoomScaleNormal="100" workbookViewId="0">
      <selection activeCell="G44" sqref="G44"/>
    </sheetView>
  </sheetViews>
  <sheetFormatPr defaultColWidth="9.1796875" defaultRowHeight="14.5"/>
  <cols>
    <col min="1" max="1" width="24" style="13" bestFit="1" customWidth="1"/>
    <col min="2" max="2" width="13.26953125" style="13" customWidth="1"/>
    <col min="3" max="4" width="10.26953125" style="13" customWidth="1"/>
    <col min="5" max="5" width="9.1796875" style="13"/>
    <col min="6" max="6" width="18.26953125" style="13" customWidth="1"/>
    <col min="7" max="7" width="24.81640625" style="13" customWidth="1"/>
    <col min="8" max="8" width="69.54296875" style="13" customWidth="1"/>
    <col min="9" max="16384" width="9.1796875" style="13"/>
  </cols>
  <sheetData>
    <row r="1" spans="1:7" ht="21">
      <c r="A1" s="44" t="s">
        <v>137</v>
      </c>
    </row>
    <row r="2" spans="1:7">
      <c r="G2" s="47"/>
    </row>
    <row r="3" spans="1:7" ht="18.5">
      <c r="A3" s="168" t="s">
        <v>138</v>
      </c>
      <c r="B3" s="169"/>
      <c r="C3" s="169"/>
      <c r="D3" s="169"/>
      <c r="E3" s="169"/>
      <c r="F3" s="169"/>
    </row>
    <row r="4" spans="1:7" ht="18.5">
      <c r="A4" s="168" t="s">
        <v>139</v>
      </c>
      <c r="B4" s="169"/>
      <c r="C4" s="169"/>
      <c r="D4" s="169"/>
      <c r="E4" s="169"/>
      <c r="F4" s="169"/>
    </row>
    <row r="6" spans="1:7" ht="33" customHeight="1">
      <c r="A6" s="170" t="s">
        <v>140</v>
      </c>
      <c r="B6" s="170"/>
      <c r="C6" s="170"/>
      <c r="D6" s="170"/>
      <c r="E6" s="170"/>
      <c r="F6" s="170"/>
    </row>
    <row r="7" spans="1:7">
      <c r="A7" s="21"/>
      <c r="B7" s="21"/>
      <c r="C7" s="21"/>
      <c r="D7"/>
      <c r="E7" s="21"/>
      <c r="F7" s="21"/>
    </row>
    <row r="8" spans="1:7">
      <c r="A8" s="21"/>
      <c r="B8" s="21"/>
      <c r="C8" s="21"/>
      <c r="D8"/>
      <c r="E8" s="21"/>
      <c r="F8" s="21"/>
    </row>
    <row r="9" spans="1:7">
      <c r="A9" s="49" t="s">
        <v>141</v>
      </c>
      <c r="B9" s="49" t="s">
        <v>142</v>
      </c>
      <c r="C9" s="49" t="s">
        <v>143</v>
      </c>
      <c r="D9"/>
      <c r="E9" s="21"/>
      <c r="F9" s="48" t="s">
        <v>34</v>
      </c>
      <c r="G9" s="155" t="s">
        <v>147</v>
      </c>
    </row>
    <row r="10" spans="1:7">
      <c r="A10" s="18" t="s">
        <v>145</v>
      </c>
      <c r="B10" s="18" t="s">
        <v>146</v>
      </c>
      <c r="C10" s="18">
        <v>100</v>
      </c>
      <c r="D10"/>
      <c r="E10" s="21"/>
      <c r="F10" s="133" t="s">
        <v>143</v>
      </c>
      <c r="G10" s="47">
        <f>SUMIF(A10:A17,G9,C10:C17)</f>
        <v>900</v>
      </c>
    </row>
    <row r="11" spans="1:7">
      <c r="A11" s="155" t="s">
        <v>147</v>
      </c>
      <c r="B11" s="18" t="s">
        <v>148</v>
      </c>
      <c r="C11" s="18">
        <v>200</v>
      </c>
      <c r="D11"/>
      <c r="E11" s="21"/>
    </row>
    <row r="12" spans="1:7">
      <c r="A12" s="18" t="s">
        <v>144</v>
      </c>
      <c r="B12" s="18" t="s">
        <v>149</v>
      </c>
      <c r="C12" s="18">
        <v>300</v>
      </c>
      <c r="D12"/>
      <c r="E12" s="21"/>
    </row>
    <row r="13" spans="1:7">
      <c r="A13" s="18" t="s">
        <v>145</v>
      </c>
      <c r="B13" s="18" t="s">
        <v>146</v>
      </c>
      <c r="C13" s="18">
        <v>400</v>
      </c>
      <c r="E13" s="21"/>
    </row>
    <row r="14" spans="1:7">
      <c r="A14" s="18" t="s">
        <v>150</v>
      </c>
      <c r="B14" s="18" t="s">
        <v>146</v>
      </c>
      <c r="C14" s="18">
        <v>500</v>
      </c>
      <c r="E14" s="21"/>
    </row>
    <row r="15" spans="1:7">
      <c r="A15" s="18" t="s">
        <v>145</v>
      </c>
      <c r="B15" s="18" t="s">
        <v>148</v>
      </c>
      <c r="C15" s="18">
        <v>600</v>
      </c>
      <c r="E15" s="21"/>
    </row>
    <row r="16" spans="1:7">
      <c r="A16" s="18" t="s">
        <v>147</v>
      </c>
      <c r="B16" s="18" t="s">
        <v>148</v>
      </c>
      <c r="C16" s="18">
        <v>700</v>
      </c>
      <c r="E16" s="21"/>
    </row>
    <row r="17" spans="1:7">
      <c r="A17" s="18" t="s">
        <v>144</v>
      </c>
      <c r="B17" s="18" t="s">
        <v>149</v>
      </c>
      <c r="C17" s="18">
        <v>800</v>
      </c>
    </row>
    <row r="20" spans="1:7">
      <c r="A20" s="49" t="s">
        <v>141</v>
      </c>
      <c r="B20" s="49" t="s">
        <v>142</v>
      </c>
      <c r="C20" s="49" t="s">
        <v>143</v>
      </c>
      <c r="D20"/>
      <c r="F20" s="48" t="s">
        <v>34</v>
      </c>
      <c r="G20" s="47" t="s">
        <v>145</v>
      </c>
    </row>
    <row r="21" spans="1:7">
      <c r="A21" s="18" t="s">
        <v>145</v>
      </c>
      <c r="B21" s="18" t="s">
        <v>146</v>
      </c>
      <c r="C21" s="18">
        <v>100</v>
      </c>
      <c r="F21" s="48" t="s">
        <v>142</v>
      </c>
      <c r="G21" s="47" t="s">
        <v>146</v>
      </c>
    </row>
    <row r="22" spans="1:7">
      <c r="A22" s="18" t="s">
        <v>147</v>
      </c>
      <c r="B22" s="18" t="s">
        <v>148</v>
      </c>
      <c r="C22" s="18">
        <v>200</v>
      </c>
      <c r="F22" s="133" t="s">
        <v>143</v>
      </c>
      <c r="G22" s="47">
        <f>SUMIFS(C21:C28,A21:A28,G20,B21:B28,G21)</f>
        <v>500</v>
      </c>
    </row>
    <row r="23" spans="1:7">
      <c r="A23" s="18" t="s">
        <v>144</v>
      </c>
      <c r="B23" s="18" t="s">
        <v>149</v>
      </c>
      <c r="C23" s="18">
        <v>300</v>
      </c>
    </row>
    <row r="24" spans="1:7">
      <c r="A24" s="18" t="s">
        <v>145</v>
      </c>
      <c r="B24" s="18" t="s">
        <v>146</v>
      </c>
      <c r="C24" s="18">
        <v>400</v>
      </c>
    </row>
    <row r="25" spans="1:7">
      <c r="A25" s="18" t="s">
        <v>150</v>
      </c>
      <c r="B25" s="18" t="s">
        <v>146</v>
      </c>
      <c r="C25" s="18">
        <v>500</v>
      </c>
    </row>
    <row r="26" spans="1:7">
      <c r="A26" s="18" t="s">
        <v>145</v>
      </c>
      <c r="B26" s="18" t="s">
        <v>148</v>
      </c>
      <c r="C26" s="18">
        <v>600</v>
      </c>
    </row>
    <row r="27" spans="1:7">
      <c r="A27" s="18" t="s">
        <v>147</v>
      </c>
      <c r="B27" s="18" t="s">
        <v>148</v>
      </c>
      <c r="C27" s="18">
        <v>700</v>
      </c>
    </row>
    <row r="28" spans="1:7">
      <c r="A28" s="18" t="s">
        <v>144</v>
      </c>
      <c r="B28" s="18" t="s">
        <v>149</v>
      </c>
      <c r="C28" s="18">
        <v>800</v>
      </c>
    </row>
    <row r="31" spans="1:7">
      <c r="A31" s="49" t="s">
        <v>141</v>
      </c>
      <c r="B31" s="49" t="s">
        <v>142</v>
      </c>
      <c r="C31" s="49" t="s">
        <v>143</v>
      </c>
      <c r="D31"/>
      <c r="F31" s="48" t="s">
        <v>34</v>
      </c>
      <c r="G31" s="47" t="s">
        <v>145</v>
      </c>
    </row>
    <row r="32" spans="1:7">
      <c r="A32" s="18" t="s">
        <v>145</v>
      </c>
      <c r="B32" s="18" t="s">
        <v>146</v>
      </c>
      <c r="C32" s="18">
        <v>100</v>
      </c>
      <c r="F32" s="48" t="s">
        <v>142</v>
      </c>
      <c r="G32" s="47" t="s">
        <v>146</v>
      </c>
    </row>
    <row r="33" spans="1:7">
      <c r="A33" s="18" t="s">
        <v>147</v>
      </c>
      <c r="B33" s="18" t="s">
        <v>148</v>
      </c>
      <c r="C33" s="18">
        <v>200</v>
      </c>
      <c r="F33" s="48" t="s">
        <v>143</v>
      </c>
      <c r="G33" s="47" t="s">
        <v>151</v>
      </c>
    </row>
    <row r="34" spans="1:7">
      <c r="A34" s="18" t="s">
        <v>144</v>
      </c>
      <c r="B34" s="18" t="s">
        <v>149</v>
      </c>
      <c r="C34" s="18">
        <v>300</v>
      </c>
      <c r="F34" s="133" t="s">
        <v>40</v>
      </c>
      <c r="G34" s="144">
        <f>SUMIFS(C32:C39,C32:C39,G33,A32:A39,G31,B32:B39,G32)</f>
        <v>400</v>
      </c>
    </row>
    <row r="35" spans="1:7">
      <c r="A35" s="18" t="s">
        <v>145</v>
      </c>
      <c r="B35" s="18" t="s">
        <v>146</v>
      </c>
      <c r="C35" s="18">
        <v>400</v>
      </c>
    </row>
    <row r="36" spans="1:7">
      <c r="A36" s="18" t="s">
        <v>150</v>
      </c>
      <c r="B36" s="18" t="s">
        <v>146</v>
      </c>
      <c r="C36" s="18">
        <v>500</v>
      </c>
    </row>
    <row r="37" spans="1:7">
      <c r="A37" s="18" t="s">
        <v>145</v>
      </c>
      <c r="B37" s="18" t="s">
        <v>148</v>
      </c>
      <c r="C37" s="18">
        <v>600</v>
      </c>
    </row>
    <row r="38" spans="1:7">
      <c r="A38" s="18" t="s">
        <v>147</v>
      </c>
      <c r="B38" s="18" t="s">
        <v>148</v>
      </c>
      <c r="C38" s="18">
        <v>700</v>
      </c>
    </row>
    <row r="39" spans="1:7">
      <c r="A39" s="18" t="s">
        <v>144</v>
      </c>
      <c r="B39" s="18" t="s">
        <v>149</v>
      </c>
      <c r="C39" s="18">
        <v>800</v>
      </c>
    </row>
    <row r="40" spans="1:7" ht="15.5">
      <c r="A40" s="19"/>
    </row>
    <row r="42" spans="1:7">
      <c r="A42" s="49" t="s">
        <v>141</v>
      </c>
      <c r="B42" s="49" t="s">
        <v>152</v>
      </c>
      <c r="C42" s="49" t="s">
        <v>143</v>
      </c>
      <c r="D42"/>
      <c r="F42" s="48" t="s">
        <v>34</v>
      </c>
      <c r="G42" s="47" t="s">
        <v>145</v>
      </c>
    </row>
    <row r="43" spans="1:7">
      <c r="A43" s="18" t="s">
        <v>145</v>
      </c>
      <c r="B43" s="143">
        <v>46082</v>
      </c>
      <c r="C43" s="18">
        <v>100</v>
      </c>
      <c r="F43" s="48" t="s">
        <v>153</v>
      </c>
      <c r="G43" s="144" t="s">
        <v>154</v>
      </c>
    </row>
    <row r="44" spans="1:7">
      <c r="A44" s="18" t="s">
        <v>147</v>
      </c>
      <c r="B44" s="143">
        <v>46083</v>
      </c>
      <c r="C44" s="18">
        <v>200</v>
      </c>
      <c r="F44" s="133" t="s">
        <v>40</v>
      </c>
      <c r="G44" s="47">
        <f>SUMIFS(C43:C50,A43:A50,G42,B43:B50,"&gt;3/5/2026",B43:B50,"&lt;3/8/2026")</f>
        <v>600</v>
      </c>
    </row>
    <row r="45" spans="1:7">
      <c r="A45" s="18" t="s">
        <v>144</v>
      </c>
      <c r="B45" s="143">
        <v>46084</v>
      </c>
      <c r="C45" s="18">
        <v>300</v>
      </c>
    </row>
    <row r="46" spans="1:7">
      <c r="A46" s="18" t="s">
        <v>145</v>
      </c>
      <c r="B46" s="143">
        <v>46085</v>
      </c>
      <c r="C46" s="18">
        <v>400</v>
      </c>
      <c r="G46" s="31"/>
    </row>
    <row r="47" spans="1:7">
      <c r="A47" s="18" t="s">
        <v>150</v>
      </c>
      <c r="B47" s="143">
        <v>46086</v>
      </c>
      <c r="C47" s="18">
        <v>500</v>
      </c>
      <c r="G47" s="31"/>
    </row>
    <row r="48" spans="1:7">
      <c r="A48" s="18" t="s">
        <v>145</v>
      </c>
      <c r="B48" s="143">
        <v>46087</v>
      </c>
      <c r="C48" s="18">
        <v>600</v>
      </c>
    </row>
    <row r="49" spans="1:3">
      <c r="A49" s="18" t="s">
        <v>147</v>
      </c>
      <c r="B49" s="143">
        <v>46088</v>
      </c>
      <c r="C49" s="18">
        <v>700</v>
      </c>
    </row>
    <row r="50" spans="1:3">
      <c r="A50" s="18" t="s">
        <v>144</v>
      </c>
      <c r="B50" s="143">
        <v>46089</v>
      </c>
      <c r="C50" s="18">
        <v>800</v>
      </c>
    </row>
  </sheetData>
  <mergeCells count="3">
    <mergeCell ref="A3:F3"/>
    <mergeCell ref="A4:F4"/>
    <mergeCell ref="A6:F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9"/>
  <sheetViews>
    <sheetView topLeftCell="A34" zoomScale="69" zoomScaleNormal="100" workbookViewId="0">
      <selection activeCell="H54" sqref="H54"/>
    </sheetView>
  </sheetViews>
  <sheetFormatPr defaultColWidth="9.1796875" defaultRowHeight="14.5"/>
  <cols>
    <col min="1" max="1" width="9.1796875" style="13"/>
    <col min="2" max="2" width="18.7265625" style="13" bestFit="1" customWidth="1"/>
    <col min="3" max="3" width="13.1796875" style="13" bestFit="1" customWidth="1"/>
    <col min="4" max="4" width="9.7265625" style="13" bestFit="1" customWidth="1"/>
    <col min="5" max="6" width="14" style="13" customWidth="1"/>
    <col min="7" max="7" width="26" style="13" bestFit="1" customWidth="1"/>
    <col min="8" max="8" width="20.453125" style="13" bestFit="1" customWidth="1"/>
    <col min="9" max="16384" width="9.1796875" style="13"/>
  </cols>
  <sheetData>
    <row r="1" spans="1:10" ht="21">
      <c r="A1" s="44" t="s">
        <v>155</v>
      </c>
    </row>
    <row r="2" spans="1:10" ht="21">
      <c r="A2" s="44"/>
    </row>
    <row r="3" spans="1:10" s="50" customFormat="1" ht="21">
      <c r="A3" s="169" t="s">
        <v>156</v>
      </c>
      <c r="B3" s="169"/>
      <c r="C3" s="169"/>
      <c r="D3" s="169"/>
      <c r="E3" s="169"/>
      <c r="F3" s="169"/>
      <c r="G3" s="169"/>
      <c r="H3" s="169"/>
      <c r="I3" s="169"/>
      <c r="J3" s="169"/>
    </row>
    <row r="4" spans="1:10" s="50" customFormat="1" ht="21">
      <c r="A4" s="169" t="s">
        <v>157</v>
      </c>
      <c r="B4" s="169"/>
      <c r="C4" s="169"/>
      <c r="D4" s="169"/>
      <c r="E4" s="169"/>
      <c r="F4" s="169"/>
      <c r="G4" s="169"/>
      <c r="H4" s="169"/>
      <c r="I4" s="169"/>
      <c r="J4" s="169"/>
    </row>
    <row r="8" spans="1:10">
      <c r="B8" s="48" t="s">
        <v>141</v>
      </c>
      <c r="C8" s="48" t="s">
        <v>142</v>
      </c>
      <c r="D8" s="48" t="s">
        <v>143</v>
      </c>
      <c r="E8" s="21"/>
      <c r="F8" s="21"/>
      <c r="G8" s="48" t="s">
        <v>34</v>
      </c>
      <c r="H8" s="147" t="s">
        <v>145</v>
      </c>
    </row>
    <row r="9" spans="1:10">
      <c r="B9" s="17" t="s">
        <v>145</v>
      </c>
      <c r="C9" s="13" t="s">
        <v>146</v>
      </c>
      <c r="D9" s="16">
        <v>100</v>
      </c>
      <c r="E9" s="21"/>
      <c r="F9" s="21"/>
      <c r="G9" s="133" t="s">
        <v>158</v>
      </c>
      <c r="H9" s="148">
        <f>AVERAGEIF(B9:B16,H8,D9:D16)</f>
        <v>366.66666666666669</v>
      </c>
    </row>
    <row r="10" spans="1:10">
      <c r="B10" s="17" t="s">
        <v>147</v>
      </c>
      <c r="C10" s="13" t="s">
        <v>148</v>
      </c>
      <c r="D10" s="16">
        <v>200</v>
      </c>
      <c r="E10" s="21"/>
      <c r="F10" s="21"/>
    </row>
    <row r="11" spans="1:10">
      <c r="B11" s="17" t="s">
        <v>144</v>
      </c>
      <c r="C11" s="13" t="s">
        <v>149</v>
      </c>
      <c r="D11" s="16">
        <v>300</v>
      </c>
      <c r="E11" s="21"/>
      <c r="F11" s="21"/>
    </row>
    <row r="12" spans="1:10">
      <c r="B12" s="17" t="s">
        <v>145</v>
      </c>
      <c r="C12" s="13" t="s">
        <v>146</v>
      </c>
      <c r="D12" s="16">
        <v>400</v>
      </c>
      <c r="E12" s="21"/>
      <c r="F12" s="21"/>
    </row>
    <row r="13" spans="1:10">
      <c r="B13" s="17" t="s">
        <v>150</v>
      </c>
      <c r="C13" s="13" t="s">
        <v>146</v>
      </c>
      <c r="D13" s="16">
        <v>500</v>
      </c>
      <c r="E13" s="21"/>
      <c r="F13" s="21"/>
    </row>
    <row r="14" spans="1:10">
      <c r="B14" s="17" t="s">
        <v>145</v>
      </c>
      <c r="C14" s="13" t="s">
        <v>148</v>
      </c>
      <c r="D14" s="16">
        <v>600</v>
      </c>
      <c r="E14" s="21"/>
      <c r="F14" s="21"/>
    </row>
    <row r="15" spans="1:10">
      <c r="B15" s="17" t="s">
        <v>147</v>
      </c>
      <c r="C15" s="13" t="s">
        <v>148</v>
      </c>
      <c r="D15" s="16">
        <v>700</v>
      </c>
      <c r="E15" s="21"/>
      <c r="F15" s="21"/>
    </row>
    <row r="16" spans="1:10" ht="15" thickBot="1">
      <c r="B16" s="15" t="s">
        <v>144</v>
      </c>
      <c r="C16" s="20" t="s">
        <v>149</v>
      </c>
      <c r="D16" s="14">
        <v>800</v>
      </c>
    </row>
    <row r="18" spans="2:12">
      <c r="K18" s="149"/>
      <c r="L18" s="149"/>
    </row>
    <row r="19" spans="2:12">
      <c r="B19" s="48" t="s">
        <v>141</v>
      </c>
      <c r="C19" s="48" t="s">
        <v>142</v>
      </c>
      <c r="D19" s="48" t="s">
        <v>143</v>
      </c>
      <c r="E19" s="21"/>
      <c r="F19" s="21"/>
      <c r="G19" s="48" t="s">
        <v>34</v>
      </c>
      <c r="H19" s="47" t="s">
        <v>159</v>
      </c>
    </row>
    <row r="20" spans="2:12">
      <c r="B20" s="17" t="s">
        <v>145</v>
      </c>
      <c r="C20" s="13" t="s">
        <v>146</v>
      </c>
      <c r="D20" s="16">
        <v>100</v>
      </c>
      <c r="E20" s="21"/>
      <c r="F20" s="21"/>
      <c r="G20" s="133" t="s">
        <v>158</v>
      </c>
      <c r="H20" s="150">
        <f>AVERAGEIF(B20:B27,"*Bananas",D20:D27)</f>
        <v>533.33333333333337</v>
      </c>
    </row>
    <row r="21" spans="2:12">
      <c r="B21" s="17" t="s">
        <v>147</v>
      </c>
      <c r="C21" s="13" t="s">
        <v>148</v>
      </c>
      <c r="D21" s="16">
        <v>200</v>
      </c>
      <c r="E21" s="21"/>
      <c r="F21" s="21"/>
    </row>
    <row r="22" spans="2:12">
      <c r="B22" s="17" t="s">
        <v>160</v>
      </c>
      <c r="C22" s="13" t="s">
        <v>149</v>
      </c>
      <c r="D22" s="16">
        <v>300</v>
      </c>
      <c r="E22" s="21"/>
      <c r="F22" s="21"/>
    </row>
    <row r="23" spans="2:12">
      <c r="B23" s="17" t="s">
        <v>145</v>
      </c>
      <c r="C23" s="13" t="s">
        <v>146</v>
      </c>
      <c r="D23" s="16">
        <v>400</v>
      </c>
      <c r="E23" s="21"/>
      <c r="F23" s="21"/>
    </row>
    <row r="24" spans="2:12">
      <c r="B24" s="17" t="s">
        <v>161</v>
      </c>
      <c r="C24" s="13" t="s">
        <v>146</v>
      </c>
      <c r="D24" s="16">
        <v>500</v>
      </c>
      <c r="E24" s="21"/>
      <c r="F24" s="21"/>
    </row>
    <row r="25" spans="2:12">
      <c r="B25" s="17" t="s">
        <v>145</v>
      </c>
      <c r="C25" s="13" t="s">
        <v>148</v>
      </c>
      <c r="D25" s="16">
        <v>600</v>
      </c>
      <c r="E25" s="21"/>
      <c r="F25" s="21"/>
    </row>
    <row r="26" spans="2:12">
      <c r="B26" s="17" t="s">
        <v>147</v>
      </c>
      <c r="C26" s="13" t="s">
        <v>148</v>
      </c>
      <c r="D26" s="16">
        <v>700</v>
      </c>
      <c r="E26" s="21"/>
      <c r="F26" s="21"/>
    </row>
    <row r="27" spans="2:12" ht="15" thickBot="1">
      <c r="B27" s="15" t="s">
        <v>162</v>
      </c>
      <c r="C27" s="20" t="s">
        <v>149</v>
      </c>
      <c r="D27" s="14">
        <v>800</v>
      </c>
    </row>
    <row r="29" spans="2:12">
      <c r="K29" s="149"/>
      <c r="L29" s="149"/>
    </row>
    <row r="30" spans="2:12">
      <c r="B30" s="48" t="s">
        <v>141</v>
      </c>
      <c r="C30" s="48" t="s">
        <v>142</v>
      </c>
      <c r="D30" s="48" t="s">
        <v>143</v>
      </c>
      <c r="E30" s="21"/>
      <c r="F30" s="21"/>
      <c r="G30" s="48" t="s">
        <v>34</v>
      </c>
      <c r="H30" s="47" t="s">
        <v>163</v>
      </c>
      <c r="K30" s="149"/>
      <c r="L30" s="149"/>
    </row>
    <row r="31" spans="2:12">
      <c r="B31" s="17" t="s">
        <v>145</v>
      </c>
      <c r="C31" s="13" t="s">
        <v>146</v>
      </c>
      <c r="D31" s="16">
        <v>100</v>
      </c>
      <c r="E31" s="21"/>
      <c r="F31" s="21"/>
      <c r="G31" s="133" t="s">
        <v>158</v>
      </c>
      <c r="H31" s="151">
        <f>AVERAGEIF(B31:B38,"&lt;&gt;*Bananas",D31:D38)</f>
        <v>400</v>
      </c>
      <c r="K31" s="149"/>
      <c r="L31" s="149"/>
    </row>
    <row r="32" spans="2:12">
      <c r="B32" s="17" t="s">
        <v>147</v>
      </c>
      <c r="C32" s="13" t="s">
        <v>148</v>
      </c>
      <c r="D32" s="16">
        <v>200</v>
      </c>
      <c r="E32" s="21"/>
      <c r="F32" s="21"/>
      <c r="K32" s="149"/>
      <c r="L32" s="149"/>
    </row>
    <row r="33" spans="2:12">
      <c r="B33" s="17" t="s">
        <v>160</v>
      </c>
      <c r="C33" s="13" t="s">
        <v>149</v>
      </c>
      <c r="D33" s="16">
        <v>300</v>
      </c>
      <c r="E33" s="21"/>
      <c r="F33" s="21"/>
      <c r="K33" s="149"/>
      <c r="L33" s="149"/>
    </row>
    <row r="34" spans="2:12">
      <c r="B34" s="17" t="s">
        <v>145</v>
      </c>
      <c r="C34" s="13" t="s">
        <v>146</v>
      </c>
      <c r="D34" s="16">
        <v>400</v>
      </c>
      <c r="E34" s="21"/>
      <c r="F34" s="21"/>
    </row>
    <row r="35" spans="2:12">
      <c r="B35" s="17" t="s">
        <v>161</v>
      </c>
      <c r="C35" s="13" t="s">
        <v>146</v>
      </c>
      <c r="D35" s="16">
        <v>500</v>
      </c>
      <c r="E35" s="21"/>
      <c r="F35" s="21"/>
    </row>
    <row r="36" spans="2:12">
      <c r="B36" s="17" t="s">
        <v>145</v>
      </c>
      <c r="C36" s="13" t="s">
        <v>148</v>
      </c>
      <c r="D36" s="16">
        <v>600</v>
      </c>
      <c r="E36" s="21"/>
      <c r="F36" s="21"/>
    </row>
    <row r="37" spans="2:12">
      <c r="B37" s="17" t="s">
        <v>147</v>
      </c>
      <c r="C37" s="13" t="s">
        <v>148</v>
      </c>
      <c r="D37" s="16">
        <v>700</v>
      </c>
      <c r="E37" s="21"/>
      <c r="F37" s="21"/>
    </row>
    <row r="38" spans="2:12" ht="15" thickBot="1">
      <c r="B38" s="15" t="s">
        <v>162</v>
      </c>
      <c r="C38" s="20" t="s">
        <v>149</v>
      </c>
      <c r="D38" s="14">
        <v>800</v>
      </c>
    </row>
    <row r="40" spans="2:12" ht="15" thickBot="1"/>
    <row r="41" spans="2:12" ht="18.5">
      <c r="B41" s="123">
        <v>1</v>
      </c>
      <c r="C41" s="124"/>
      <c r="D41" s="125"/>
      <c r="F41" s="22"/>
      <c r="G41" s="133" t="s">
        <v>164</v>
      </c>
      <c r="H41" s="148">
        <f>AVERAGEIF(B41:B50,"&gt;10")</f>
        <v>40</v>
      </c>
    </row>
    <row r="42" spans="2:12" ht="18.5">
      <c r="B42" s="126">
        <v>20</v>
      </c>
      <c r="C42" s="51"/>
      <c r="D42" s="127"/>
      <c r="F42" s="22"/>
      <c r="G42" s="133" t="s">
        <v>165</v>
      </c>
      <c r="H42" s="148">
        <f>AVERAGEIF(B41:B50,"&lt;&gt;0")</f>
        <v>15.833333333333334</v>
      </c>
    </row>
    <row r="43" spans="2:12" ht="18.5">
      <c r="B43" s="126">
        <v>0</v>
      </c>
      <c r="C43" s="51"/>
      <c r="D43" s="127"/>
      <c r="F43" s="22"/>
      <c r="H43"/>
    </row>
    <row r="44" spans="2:12" ht="18.5">
      <c r="B44" s="126">
        <v>6</v>
      </c>
      <c r="C44" s="51"/>
      <c r="D44" s="127"/>
      <c r="E44" s="22"/>
      <c r="F44" s="22"/>
      <c r="H44" s="22"/>
    </row>
    <row r="45" spans="2:12" ht="18.5">
      <c r="B45" s="126">
        <v>0</v>
      </c>
      <c r="C45" s="51"/>
      <c r="D45" s="127"/>
      <c r="E45" s="22"/>
      <c r="F45" s="22"/>
      <c r="G45" s="22"/>
      <c r="H45" s="22"/>
    </row>
    <row r="46" spans="2:12" ht="18.5">
      <c r="B46" s="126">
        <v>5</v>
      </c>
      <c r="C46" s="51"/>
      <c r="D46" s="127"/>
      <c r="E46" s="22"/>
      <c r="F46" s="22"/>
      <c r="G46" s="22"/>
      <c r="H46" s="22"/>
    </row>
    <row r="47" spans="2:12" ht="18.5">
      <c r="B47" s="126">
        <v>0</v>
      </c>
      <c r="C47" s="51"/>
      <c r="D47" s="127"/>
      <c r="E47" s="22"/>
      <c r="F47" s="22"/>
      <c r="G47" s="22"/>
      <c r="H47" s="22"/>
    </row>
    <row r="48" spans="2:12" ht="18.5">
      <c r="B48" s="126">
        <v>0</v>
      </c>
      <c r="C48" s="51"/>
      <c r="D48" s="127"/>
      <c r="E48" s="22"/>
      <c r="F48" s="22"/>
      <c r="G48" s="22"/>
      <c r="H48" s="22"/>
    </row>
    <row r="49" spans="2:8" ht="18.5">
      <c r="B49" s="126">
        <v>3</v>
      </c>
      <c r="C49" s="51"/>
      <c r="D49" s="127"/>
      <c r="E49" s="22"/>
      <c r="F49" s="22"/>
      <c r="G49" s="22"/>
      <c r="H49" s="22"/>
    </row>
    <row r="50" spans="2:8" ht="19" thickBot="1">
      <c r="B50" s="128">
        <v>60</v>
      </c>
      <c r="C50" s="129"/>
      <c r="D50" s="130"/>
      <c r="E50" s="22"/>
      <c r="F50" s="22"/>
      <c r="G50" s="22"/>
      <c r="H50" s="22"/>
    </row>
    <row r="53" spans="2:8">
      <c r="B53" s="48" t="s">
        <v>142</v>
      </c>
      <c r="C53" s="48" t="s">
        <v>143</v>
      </c>
      <c r="G53" s="133" t="s">
        <v>166</v>
      </c>
      <c r="H53" s="148">
        <f>AVERAGEIF(B54:B61,"&lt;&gt;*",C54:C61)</f>
        <v>500</v>
      </c>
    </row>
    <row r="54" spans="2:8">
      <c r="B54" s="17" t="s">
        <v>146</v>
      </c>
      <c r="C54" s="16">
        <v>100</v>
      </c>
      <c r="G54" s="133" t="s">
        <v>167</v>
      </c>
      <c r="H54" s="148">
        <f>AVERAGEIF(B54:B61,"*",C54:C61)</f>
        <v>420</v>
      </c>
    </row>
    <row r="55" spans="2:8">
      <c r="B55" s="17"/>
      <c r="C55" s="16">
        <v>200</v>
      </c>
      <c r="H55" s="152"/>
    </row>
    <row r="56" spans="2:8">
      <c r="B56" s="17" t="s">
        <v>149</v>
      </c>
      <c r="C56" s="16">
        <v>300</v>
      </c>
    </row>
    <row r="57" spans="2:8">
      <c r="B57" s="17" t="s">
        <v>146</v>
      </c>
      <c r="C57" s="16">
        <v>400</v>
      </c>
    </row>
    <row r="58" spans="2:8">
      <c r="B58" s="17" t="s">
        <v>146</v>
      </c>
      <c r="C58" s="16">
        <v>500</v>
      </c>
    </row>
    <row r="59" spans="2:8">
      <c r="B59" s="17"/>
      <c r="C59" s="16">
        <v>600</v>
      </c>
    </row>
    <row r="60" spans="2:8">
      <c r="B60" s="17"/>
      <c r="C60" s="16">
        <v>700</v>
      </c>
    </row>
    <row r="61" spans="2:8" ht="15" thickBot="1">
      <c r="B61" s="15" t="s">
        <v>149</v>
      </c>
      <c r="C61" s="14">
        <v>800</v>
      </c>
    </row>
    <row r="65" spans="2:8">
      <c r="B65" s="48" t="s">
        <v>141</v>
      </c>
      <c r="C65" s="48" t="s">
        <v>142</v>
      </c>
      <c r="D65" s="48" t="s">
        <v>143</v>
      </c>
      <c r="G65" s="48" t="s">
        <v>34</v>
      </c>
      <c r="H65" s="18" t="s">
        <v>145</v>
      </c>
    </row>
    <row r="66" spans="2:8">
      <c r="B66" s="17" t="s">
        <v>145</v>
      </c>
      <c r="C66" s="13" t="s">
        <v>146</v>
      </c>
      <c r="D66" s="16">
        <v>100</v>
      </c>
      <c r="G66" s="48" t="s">
        <v>142</v>
      </c>
      <c r="H66" s="18" t="s">
        <v>146</v>
      </c>
    </row>
    <row r="67" spans="2:8">
      <c r="B67" s="17" t="s">
        <v>147</v>
      </c>
      <c r="C67" s="13" t="s">
        <v>148</v>
      </c>
      <c r="D67" s="16">
        <v>200</v>
      </c>
      <c r="G67" s="133" t="s">
        <v>158</v>
      </c>
      <c r="H67" s="148">
        <f>AVERAGEIFS(D66:D73,B66:B73,H65,C66:C73,H66)</f>
        <v>250</v>
      </c>
    </row>
    <row r="68" spans="2:8">
      <c r="B68" s="17" t="s">
        <v>144</v>
      </c>
      <c r="C68" s="13" t="s">
        <v>149</v>
      </c>
      <c r="D68" s="16">
        <v>300</v>
      </c>
    </row>
    <row r="69" spans="2:8">
      <c r="B69" s="17" t="s">
        <v>145</v>
      </c>
      <c r="C69" s="13" t="s">
        <v>146</v>
      </c>
      <c r="D69" s="16">
        <v>400</v>
      </c>
    </row>
    <row r="70" spans="2:8">
      <c r="B70" s="17" t="s">
        <v>150</v>
      </c>
      <c r="C70" s="13" t="s">
        <v>146</v>
      </c>
      <c r="D70" s="16">
        <v>500</v>
      </c>
    </row>
    <row r="71" spans="2:8">
      <c r="B71" s="17" t="s">
        <v>145</v>
      </c>
      <c r="C71" s="13" t="s">
        <v>148</v>
      </c>
      <c r="D71" s="16">
        <v>600</v>
      </c>
    </row>
    <row r="72" spans="2:8">
      <c r="B72" s="17" t="s">
        <v>147</v>
      </c>
      <c r="C72" s="13" t="s">
        <v>148</v>
      </c>
      <c r="D72" s="16">
        <v>700</v>
      </c>
    </row>
    <row r="73" spans="2:8" ht="15" thickBot="1">
      <c r="B73" s="15" t="s">
        <v>144</v>
      </c>
      <c r="C73" s="20" t="s">
        <v>149</v>
      </c>
      <c r="D73" s="14">
        <v>800</v>
      </c>
    </row>
    <row r="76" spans="2:8" ht="15.5">
      <c r="B76" s="19"/>
    </row>
    <row r="78" spans="2:8">
      <c r="B78" s="48" t="s">
        <v>141</v>
      </c>
      <c r="C78" s="48" t="s">
        <v>142</v>
      </c>
      <c r="D78" s="48" t="s">
        <v>143</v>
      </c>
      <c r="G78" s="48" t="s">
        <v>34</v>
      </c>
      <c r="H78" s="47" t="s">
        <v>145</v>
      </c>
    </row>
    <row r="79" spans="2:8">
      <c r="B79" s="17" t="s">
        <v>145</v>
      </c>
      <c r="C79" s="13" t="s">
        <v>146</v>
      </c>
      <c r="D79" s="16">
        <v>100</v>
      </c>
      <c r="G79" s="48" t="s">
        <v>142</v>
      </c>
      <c r="H79" s="47" t="s">
        <v>146</v>
      </c>
    </row>
    <row r="80" spans="2:8">
      <c r="B80" s="17" t="s">
        <v>147</v>
      </c>
      <c r="C80" s="13" t="s">
        <v>148</v>
      </c>
      <c r="D80" s="16">
        <v>200</v>
      </c>
      <c r="G80" s="48" t="s">
        <v>168</v>
      </c>
      <c r="H80" s="47" t="s">
        <v>151</v>
      </c>
    </row>
    <row r="81" spans="2:8">
      <c r="B81" s="17" t="s">
        <v>144</v>
      </c>
      <c r="C81" s="13" t="s">
        <v>149</v>
      </c>
      <c r="D81" s="16">
        <v>300</v>
      </c>
      <c r="G81" s="133" t="s">
        <v>158</v>
      </c>
      <c r="H81" s="151">
        <f>AVERAGEIFS(D79:D86,B79:B86,H78,C79:C86,H79,D79:D86,H80)</f>
        <v>500</v>
      </c>
    </row>
    <row r="82" spans="2:8">
      <c r="B82" s="17" t="s">
        <v>145</v>
      </c>
      <c r="C82" s="13" t="s">
        <v>146</v>
      </c>
      <c r="D82" s="16">
        <v>400</v>
      </c>
    </row>
    <row r="83" spans="2:8">
      <c r="B83" s="17" t="s">
        <v>150</v>
      </c>
      <c r="C83" s="13" t="s">
        <v>146</v>
      </c>
      <c r="D83" s="16">
        <v>500</v>
      </c>
    </row>
    <row r="84" spans="2:8">
      <c r="B84" s="17" t="s">
        <v>145</v>
      </c>
      <c r="C84" s="13" t="s">
        <v>146</v>
      </c>
      <c r="D84" s="16">
        <v>600</v>
      </c>
    </row>
    <row r="85" spans="2:8">
      <c r="B85" s="17" t="s">
        <v>147</v>
      </c>
      <c r="C85" s="13" t="s">
        <v>148</v>
      </c>
      <c r="D85" s="16">
        <v>700</v>
      </c>
    </row>
    <row r="86" spans="2:8" ht="15" thickBot="1">
      <c r="B86" s="15" t="s">
        <v>144</v>
      </c>
      <c r="C86" s="20" t="s">
        <v>149</v>
      </c>
      <c r="D86" s="14">
        <v>800</v>
      </c>
    </row>
    <row r="89" spans="2:8" ht="15.5">
      <c r="B89" s="19"/>
    </row>
  </sheetData>
  <mergeCells count="2">
    <mergeCell ref="A4:J4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6"/>
  <sheetViews>
    <sheetView topLeftCell="A29" zoomScale="63" zoomScaleNormal="100" workbookViewId="0">
      <selection activeCell="G45" sqref="G45"/>
    </sheetView>
  </sheetViews>
  <sheetFormatPr defaultRowHeight="14.5"/>
  <cols>
    <col min="1" max="1" width="12.54296875" customWidth="1"/>
    <col min="2" max="2" width="11.1796875" customWidth="1"/>
    <col min="6" max="6" width="21.7265625" bestFit="1" customWidth="1"/>
    <col min="7" max="7" width="13.54296875" customWidth="1"/>
    <col min="8" max="8" width="45.1796875" bestFit="1" customWidth="1"/>
    <col min="11" max="11" width="15" customWidth="1"/>
    <col min="12" max="12" width="9.7265625" bestFit="1" customWidth="1"/>
    <col min="17" max="17" width="35.26953125" customWidth="1"/>
  </cols>
  <sheetData>
    <row r="1" spans="1:9" ht="21">
      <c r="A1" s="44" t="s">
        <v>169</v>
      </c>
    </row>
    <row r="2" spans="1:9" ht="18.5">
      <c r="A2" s="173" t="s">
        <v>170</v>
      </c>
      <c r="B2" s="173"/>
      <c r="C2" s="173"/>
      <c r="D2" s="173"/>
      <c r="E2" s="173"/>
      <c r="F2" s="173"/>
      <c r="G2" s="173"/>
      <c r="H2" s="173"/>
      <c r="I2" s="173"/>
    </row>
    <row r="3" spans="1:9" ht="18.5">
      <c r="A3" s="173" t="s">
        <v>171</v>
      </c>
      <c r="B3" s="173"/>
      <c r="C3" s="173"/>
      <c r="D3" s="173"/>
      <c r="E3" s="173"/>
      <c r="F3" s="173"/>
      <c r="G3" s="173"/>
      <c r="H3" s="173"/>
      <c r="I3" s="173"/>
    </row>
    <row r="6" spans="1:9" ht="17.5">
      <c r="A6" s="171" t="s">
        <v>172</v>
      </c>
      <c r="B6" s="171"/>
      <c r="C6" s="171"/>
      <c r="D6" s="171"/>
      <c r="E6" s="171"/>
      <c r="F6" s="171"/>
      <c r="G6" s="171"/>
    </row>
    <row r="8" spans="1:9">
      <c r="A8" s="43">
        <v>1</v>
      </c>
      <c r="B8" s="43" t="s">
        <v>42</v>
      </c>
      <c r="C8" s="43">
        <v>5</v>
      </c>
      <c r="D8" s="43"/>
      <c r="F8" s="134" t="s">
        <v>173</v>
      </c>
      <c r="G8" s="145">
        <f>COUNTIF(D8:D14,"Yes")</f>
        <v>4</v>
      </c>
    </row>
    <row r="9" spans="1:9" s="11" customFormat="1">
      <c r="A9" s="62">
        <v>2</v>
      </c>
      <c r="B9" s="62" t="s">
        <v>42</v>
      </c>
      <c r="C9" s="62">
        <v>6</v>
      </c>
      <c r="D9" s="62" t="s">
        <v>42</v>
      </c>
      <c r="G9" s="58"/>
    </row>
    <row r="10" spans="1:9">
      <c r="A10" s="43">
        <v>3</v>
      </c>
      <c r="B10" s="43" t="s">
        <v>42</v>
      </c>
      <c r="C10" s="43">
        <v>9</v>
      </c>
      <c r="D10" s="43" t="s">
        <v>42</v>
      </c>
    </row>
    <row r="11" spans="1:9">
      <c r="A11" s="43">
        <v>6</v>
      </c>
      <c r="B11" s="43"/>
      <c r="C11" s="43">
        <v>10</v>
      </c>
      <c r="D11" s="43" t="s">
        <v>42</v>
      </c>
    </row>
    <row r="12" spans="1:9">
      <c r="A12" s="43">
        <v>9</v>
      </c>
      <c r="B12" s="43"/>
      <c r="C12" s="43">
        <v>21</v>
      </c>
      <c r="D12" s="43"/>
    </row>
    <row r="13" spans="1:9">
      <c r="A13" s="43">
        <v>40</v>
      </c>
      <c r="B13" s="43" t="s">
        <v>42</v>
      </c>
      <c r="C13" s="43">
        <v>53</v>
      </c>
      <c r="D13" s="43"/>
    </row>
    <row r="14" spans="1:9">
      <c r="A14" s="43">
        <v>12</v>
      </c>
      <c r="B14" s="43"/>
      <c r="C14" s="43">
        <v>60</v>
      </c>
      <c r="D14" s="43" t="s">
        <v>42</v>
      </c>
    </row>
    <row r="18" spans="1:7" s="11" customFormat="1" ht="17.25" customHeight="1">
      <c r="A18" s="135" t="s">
        <v>141</v>
      </c>
      <c r="B18" s="135" t="s">
        <v>142</v>
      </c>
      <c r="C18" s="135" t="s">
        <v>143</v>
      </c>
      <c r="F18" s="136" t="s">
        <v>174</v>
      </c>
      <c r="G18" s="146">
        <f>COUNTIF(C19:C26,"200")</f>
        <v>3</v>
      </c>
    </row>
    <row r="19" spans="1:7">
      <c r="A19" s="27" t="s">
        <v>145</v>
      </c>
      <c r="B19" t="s">
        <v>146</v>
      </c>
      <c r="C19" s="26">
        <v>100</v>
      </c>
    </row>
    <row r="20" spans="1:7">
      <c r="A20" s="27" t="s">
        <v>147</v>
      </c>
      <c r="B20" t="s">
        <v>148</v>
      </c>
      <c r="C20" s="26">
        <v>200</v>
      </c>
    </row>
    <row r="21" spans="1:7">
      <c r="A21" s="27" t="s">
        <v>144</v>
      </c>
      <c r="B21" t="s">
        <v>149</v>
      </c>
      <c r="C21" s="26">
        <v>300</v>
      </c>
    </row>
    <row r="22" spans="1:7">
      <c r="A22" s="27" t="s">
        <v>145</v>
      </c>
      <c r="B22" t="s">
        <v>146</v>
      </c>
      <c r="C22" s="26">
        <v>200</v>
      </c>
    </row>
    <row r="23" spans="1:7">
      <c r="A23" s="27" t="s">
        <v>150</v>
      </c>
      <c r="B23" t="s">
        <v>146</v>
      </c>
      <c r="C23" s="26">
        <v>500</v>
      </c>
    </row>
    <row r="24" spans="1:7">
      <c r="A24" s="27" t="s">
        <v>145</v>
      </c>
      <c r="B24" t="s">
        <v>148</v>
      </c>
      <c r="C24" s="26">
        <v>200</v>
      </c>
    </row>
    <row r="25" spans="1:7">
      <c r="A25" s="27" t="s">
        <v>147</v>
      </c>
      <c r="B25" t="s">
        <v>148</v>
      </c>
      <c r="C25" s="26">
        <v>700</v>
      </c>
    </row>
    <row r="26" spans="1:7" ht="15" thickBot="1">
      <c r="A26" s="25" t="s">
        <v>144</v>
      </c>
      <c r="B26" s="24" t="s">
        <v>149</v>
      </c>
      <c r="C26" s="23">
        <v>800</v>
      </c>
    </row>
    <row r="31" spans="1:7" ht="18.5">
      <c r="A31" s="174" t="s">
        <v>175</v>
      </c>
      <c r="B31" s="174"/>
      <c r="C31" s="174"/>
      <c r="D31" s="174"/>
      <c r="F31" s="134" t="s">
        <v>176</v>
      </c>
      <c r="G31" s="53">
        <f>COUNTIF(A32:A40,$A$34)</f>
        <v>3</v>
      </c>
    </row>
    <row r="32" spans="1:7">
      <c r="A32" s="53" t="s">
        <v>177</v>
      </c>
      <c r="B32" s="55">
        <v>39698</v>
      </c>
      <c r="C32" s="53">
        <v>0</v>
      </c>
      <c r="D32" s="53" t="b">
        <v>1</v>
      </c>
      <c r="F32" s="134" t="s">
        <v>178</v>
      </c>
      <c r="G32" s="53">
        <f>COUNTIF(A32:A40,"&lt;&gt;Wednesday")</f>
        <v>6</v>
      </c>
    </row>
    <row r="33" spans="1:7">
      <c r="A33" s="53" t="s">
        <v>179</v>
      </c>
      <c r="B33" s="55">
        <v>39699</v>
      </c>
      <c r="C33" s="53">
        <v>2.1</v>
      </c>
      <c r="D33" s="53" t="b">
        <v>1</v>
      </c>
      <c r="G33" s="29"/>
    </row>
    <row r="34" spans="1:7">
      <c r="A34" s="56" t="s">
        <v>180</v>
      </c>
      <c r="B34" s="57">
        <v>39701</v>
      </c>
      <c r="C34" s="56">
        <v>2</v>
      </c>
      <c r="D34" s="56" t="b">
        <v>1</v>
      </c>
      <c r="E34" s="11"/>
      <c r="F34" s="11"/>
      <c r="G34" s="28"/>
    </row>
    <row r="35" spans="1:7">
      <c r="A35" s="53" t="s">
        <v>181</v>
      </c>
      <c r="B35" s="55">
        <v>39702</v>
      </c>
      <c r="C35" s="53">
        <v>3</v>
      </c>
      <c r="D35" s="53" t="b">
        <v>0</v>
      </c>
      <c r="G35" s="28"/>
    </row>
    <row r="36" spans="1:7">
      <c r="A36" s="53" t="s">
        <v>180</v>
      </c>
      <c r="B36" s="55">
        <v>39708</v>
      </c>
      <c r="C36" s="53">
        <v>2.5</v>
      </c>
      <c r="D36" s="53" t="b">
        <v>0</v>
      </c>
    </row>
    <row r="37" spans="1:7">
      <c r="A37" s="53" t="s">
        <v>182</v>
      </c>
      <c r="B37" s="55">
        <v>39714</v>
      </c>
      <c r="C37" s="53">
        <v>3</v>
      </c>
      <c r="D37" s="53" t="b">
        <v>0</v>
      </c>
      <c r="G37" s="28"/>
    </row>
    <row r="38" spans="1:7">
      <c r="A38" s="53" t="s">
        <v>180</v>
      </c>
      <c r="B38" s="55">
        <v>39715</v>
      </c>
      <c r="C38" s="53">
        <v>6</v>
      </c>
      <c r="D38" s="53" t="b">
        <v>0</v>
      </c>
    </row>
    <row r="39" spans="1:7">
      <c r="A39" s="53" t="s">
        <v>177</v>
      </c>
      <c r="B39" s="55">
        <v>39726</v>
      </c>
      <c r="C39" s="53">
        <v>4</v>
      </c>
      <c r="D39" s="53" t="b">
        <v>0</v>
      </c>
    </row>
    <row r="40" spans="1:7">
      <c r="A40" s="53" t="s">
        <v>183</v>
      </c>
      <c r="B40" s="55">
        <v>39732</v>
      </c>
      <c r="C40" s="53">
        <v>0</v>
      </c>
      <c r="D40" s="53" t="b">
        <v>0</v>
      </c>
    </row>
    <row r="43" spans="1:7" ht="18.5">
      <c r="A43" s="172" t="s">
        <v>184</v>
      </c>
      <c r="B43" s="172"/>
      <c r="C43" s="172"/>
      <c r="D43" s="172"/>
      <c r="E43" s="172"/>
      <c r="F43" s="172"/>
    </row>
    <row r="44" spans="1:7">
      <c r="A44" s="52" t="s">
        <v>185</v>
      </c>
      <c r="B44" s="52" t="s">
        <v>186</v>
      </c>
      <c r="C44" s="52" t="s">
        <v>187</v>
      </c>
      <c r="D44" s="52" t="s">
        <v>48</v>
      </c>
      <c r="F44" s="140" t="s">
        <v>188</v>
      </c>
      <c r="G44" s="2">
        <f>COUNTIFS(B45:B56,$B$47,D45:D56,"&gt;60%")</f>
        <v>4</v>
      </c>
    </row>
    <row r="45" spans="1:7">
      <c r="A45" s="53" t="s">
        <v>189</v>
      </c>
      <c r="B45" s="53" t="s">
        <v>190</v>
      </c>
      <c r="C45" s="53" t="s">
        <v>191</v>
      </c>
      <c r="D45" s="54">
        <v>0.63</v>
      </c>
      <c r="F45" s="140" t="s">
        <v>192</v>
      </c>
      <c r="G45" s="2">
        <f>COUNTIFS(C45:C56,$C$47,D45:D56,"&lt;50%")</f>
        <v>2</v>
      </c>
    </row>
    <row r="46" spans="1:7">
      <c r="A46" s="53" t="s">
        <v>189</v>
      </c>
      <c r="B46" s="53" t="s">
        <v>190</v>
      </c>
      <c r="C46" s="53" t="s">
        <v>193</v>
      </c>
      <c r="D46" s="54">
        <v>0.78</v>
      </c>
    </row>
    <row r="47" spans="1:7">
      <c r="A47" s="53" t="s">
        <v>189</v>
      </c>
      <c r="B47" s="53" t="s">
        <v>190</v>
      </c>
      <c r="C47" s="53" t="s">
        <v>194</v>
      </c>
      <c r="D47" s="54">
        <v>0.39</v>
      </c>
    </row>
    <row r="48" spans="1:7">
      <c r="A48" s="53" t="s">
        <v>195</v>
      </c>
      <c r="B48" s="53" t="s">
        <v>196</v>
      </c>
      <c r="C48" s="53" t="s">
        <v>191</v>
      </c>
      <c r="D48" s="54">
        <v>0.55000000000000004</v>
      </c>
    </row>
    <row r="49" spans="1:4">
      <c r="A49" s="53" t="s">
        <v>195</v>
      </c>
      <c r="B49" s="53" t="s">
        <v>196</v>
      </c>
      <c r="C49" s="53" t="s">
        <v>193</v>
      </c>
      <c r="D49" s="54">
        <v>0.71</v>
      </c>
    </row>
    <row r="50" spans="1:4">
      <c r="A50" s="53" t="s">
        <v>195</v>
      </c>
      <c r="B50" s="53" t="s">
        <v>196</v>
      </c>
      <c r="C50" s="53" t="s">
        <v>194</v>
      </c>
      <c r="D50" s="54">
        <v>0.51</v>
      </c>
    </row>
    <row r="51" spans="1:4">
      <c r="A51" s="53" t="s">
        <v>197</v>
      </c>
      <c r="B51" s="53" t="s">
        <v>190</v>
      </c>
      <c r="C51" s="53" t="s">
        <v>191</v>
      </c>
      <c r="D51" s="54">
        <v>0.78</v>
      </c>
    </row>
    <row r="52" spans="1:4">
      <c r="A52" s="53" t="s">
        <v>197</v>
      </c>
      <c r="B52" s="53" t="s">
        <v>190</v>
      </c>
      <c r="C52" s="53" t="s">
        <v>193</v>
      </c>
      <c r="D52" s="54">
        <v>0.81</v>
      </c>
    </row>
    <row r="53" spans="1:4">
      <c r="A53" s="53" t="s">
        <v>197</v>
      </c>
      <c r="B53" s="53" t="s">
        <v>190</v>
      </c>
      <c r="C53" s="53" t="s">
        <v>194</v>
      </c>
      <c r="D53" s="54">
        <v>0.49</v>
      </c>
    </row>
    <row r="54" spans="1:4">
      <c r="A54" s="53" t="s">
        <v>198</v>
      </c>
      <c r="B54" s="53" t="s">
        <v>196</v>
      </c>
      <c r="C54" s="53" t="s">
        <v>191</v>
      </c>
      <c r="D54" s="54">
        <v>0.35</v>
      </c>
    </row>
    <row r="55" spans="1:4">
      <c r="A55" s="53" t="s">
        <v>198</v>
      </c>
      <c r="B55" s="53" t="s">
        <v>196</v>
      </c>
      <c r="C55" s="53" t="s">
        <v>193</v>
      </c>
      <c r="D55" s="54">
        <v>0.69</v>
      </c>
    </row>
    <row r="56" spans="1:4">
      <c r="A56" s="53" t="s">
        <v>198</v>
      </c>
      <c r="B56" s="53" t="s">
        <v>196</v>
      </c>
      <c r="C56" s="53" t="s">
        <v>194</v>
      </c>
      <c r="D56" s="54">
        <v>0.65</v>
      </c>
    </row>
  </sheetData>
  <mergeCells count="5">
    <mergeCell ref="A6:G6"/>
    <mergeCell ref="A43:F43"/>
    <mergeCell ref="A3:I3"/>
    <mergeCell ref="A2:I2"/>
    <mergeCell ref="A31:D3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0"/>
  <sheetViews>
    <sheetView showGridLines="0" tabSelected="1" topLeftCell="CC1" zoomScale="84" zoomScaleNormal="130" workbookViewId="0">
      <selection activeCell="F5" sqref="F5"/>
    </sheetView>
  </sheetViews>
  <sheetFormatPr defaultColWidth="9.1796875" defaultRowHeight="14.5"/>
  <cols>
    <col min="1" max="1" width="7.81640625" style="13" customWidth="1"/>
    <col min="2" max="2" width="12.1796875" style="13" customWidth="1"/>
    <col min="3" max="3" width="15.1796875" style="13" customWidth="1"/>
    <col min="4" max="4" width="26.54296875" style="13" customWidth="1"/>
    <col min="5" max="5" width="37" style="13" customWidth="1"/>
    <col min="6" max="6" width="10.7265625" style="13" customWidth="1"/>
    <col min="7" max="7" width="11" style="13" bestFit="1" customWidth="1"/>
    <col min="8" max="8" width="10.7265625" style="13" customWidth="1"/>
    <col min="9" max="16384" width="9.1796875" style="13"/>
  </cols>
  <sheetData>
    <row r="1" spans="1:8" ht="17.5">
      <c r="A1" s="59" t="s">
        <v>199</v>
      </c>
      <c r="B1" s="60"/>
      <c r="C1" s="60"/>
      <c r="D1" s="60"/>
      <c r="E1" s="60"/>
      <c r="F1" s="60"/>
      <c r="G1" s="60"/>
      <c r="H1" s="60"/>
    </row>
    <row r="3" spans="1:8">
      <c r="A3" s="159" t="s">
        <v>200</v>
      </c>
      <c r="B3" s="159"/>
      <c r="C3" s="159"/>
      <c r="D3" s="34">
        <f>SUMIF(D11:D50,$D$12,H11:H50)</f>
        <v>13963.26</v>
      </c>
      <c r="E3" s="33"/>
      <c r="F3" s="32"/>
      <c r="G3" s="32"/>
      <c r="H3" s="32"/>
    </row>
    <row r="4" spans="1:8">
      <c r="A4" s="159" t="s">
        <v>201</v>
      </c>
      <c r="B4" s="159"/>
      <c r="C4" s="159"/>
      <c r="D4" s="34">
        <f>SUMIFS(H11:H50,C11:C50,C14,D11:D50,D12)</f>
        <v>2773.74</v>
      </c>
      <c r="E4" s="33"/>
      <c r="F4" s="32"/>
      <c r="G4" s="32"/>
      <c r="H4" s="32"/>
    </row>
    <row r="5" spans="1:8">
      <c r="A5" s="159" t="s">
        <v>202</v>
      </c>
      <c r="B5" s="159"/>
      <c r="C5" s="159"/>
      <c r="D5" s="35">
        <f>COUNTIF(D11:D50,D11)</f>
        <v>27</v>
      </c>
      <c r="E5" s="33"/>
      <c r="F5" s="32"/>
      <c r="G5" s="32"/>
      <c r="H5" s="32"/>
    </row>
    <row r="6" spans="1:8">
      <c r="A6" s="159" t="s">
        <v>203</v>
      </c>
      <c r="B6" s="159"/>
      <c r="C6" s="159"/>
      <c r="D6" s="35">
        <f>COUNTIFS(D11:D50,D11,G11:G50,"&gt;=1%")</f>
        <v>10</v>
      </c>
      <c r="E6" s="33"/>
      <c r="F6" s="32"/>
      <c r="G6" s="32"/>
      <c r="H6" s="32"/>
    </row>
    <row r="7" spans="1:8">
      <c r="A7" s="159" t="s">
        <v>204</v>
      </c>
      <c r="B7" s="159"/>
      <c r="C7" s="159"/>
      <c r="D7" s="34">
        <f>AVERAGEIF(D11:D50,D12,F11:F50)</f>
        <v>1085.6723076923076</v>
      </c>
      <c r="E7" s="33"/>
      <c r="F7" s="32"/>
      <c r="G7" s="32"/>
      <c r="H7" s="32"/>
    </row>
    <row r="8" spans="1:8">
      <c r="A8" s="159" t="s">
        <v>205</v>
      </c>
      <c r="B8" s="159"/>
      <c r="C8" s="159"/>
      <c r="D8" s="34">
        <f>AVERAGEIFS(F11:F50,D11:D50,D12,E11:E50,"*Compaq*")</f>
        <v>1312.125</v>
      </c>
      <c r="E8" s="33"/>
      <c r="F8" s="32"/>
      <c r="G8" s="32"/>
      <c r="H8" s="32"/>
    </row>
    <row r="10" spans="1:8">
      <c r="A10" s="61" t="s">
        <v>206</v>
      </c>
      <c r="B10" s="61" t="s">
        <v>207</v>
      </c>
      <c r="C10" s="61" t="s">
        <v>208</v>
      </c>
      <c r="D10" s="61" t="s">
        <v>209</v>
      </c>
      <c r="E10" s="61" t="s">
        <v>34</v>
      </c>
      <c r="F10" s="61" t="s">
        <v>210</v>
      </c>
      <c r="G10" s="61" t="s">
        <v>39</v>
      </c>
      <c r="H10" s="61" t="s">
        <v>211</v>
      </c>
    </row>
    <row r="11" spans="1:8">
      <c r="A11" s="13">
        <v>1001</v>
      </c>
      <c r="B11" s="31">
        <v>44197</v>
      </c>
      <c r="C11" s="13" t="s">
        <v>212</v>
      </c>
      <c r="D11" s="13" t="s">
        <v>213</v>
      </c>
      <c r="E11" s="13" t="s">
        <v>214</v>
      </c>
      <c r="F11" s="153">
        <v>449</v>
      </c>
      <c r="G11" s="30">
        <v>0.05</v>
      </c>
      <c r="H11" s="153">
        <f>IF(Table13[[#This Row],[Discount]]&lt;&gt;0,Table13[[#This Row],[Price]]-Table13[[#This Row],[Price]]*Table13[[#This Row],[Discount]],Table13[Price])</f>
        <v>426.55</v>
      </c>
    </row>
    <row r="12" spans="1:8">
      <c r="A12" s="13">
        <v>1002</v>
      </c>
      <c r="B12" s="31">
        <v>44208</v>
      </c>
      <c r="C12" s="13" t="s">
        <v>215</v>
      </c>
      <c r="D12" s="13" t="s">
        <v>216</v>
      </c>
      <c r="E12" s="13" t="s">
        <v>217</v>
      </c>
      <c r="F12" s="153">
        <v>1254</v>
      </c>
      <c r="G12" s="30"/>
      <c r="H12" s="153">
        <f>IF(Table13[[#This Row],[Discount]]&lt;&gt;0,Table13[[#This Row],[Price]]-Table13[[#This Row],[Price]]*Table13[[#This Row],[Discount]],Table13[Price])</f>
        <v>1254</v>
      </c>
    </row>
    <row r="13" spans="1:8">
      <c r="A13" s="13">
        <v>1003</v>
      </c>
      <c r="B13" s="31">
        <v>44213</v>
      </c>
      <c r="C13" s="13" t="s">
        <v>218</v>
      </c>
      <c r="D13" s="13" t="s">
        <v>213</v>
      </c>
      <c r="E13" s="13" t="s">
        <v>219</v>
      </c>
      <c r="F13" s="153">
        <v>784</v>
      </c>
      <c r="G13" s="30"/>
      <c r="H13" s="153">
        <f>IF(Table13[[#This Row],[Discount]]&lt;&gt;0,Table13[[#This Row],[Price]]-Table13[[#This Row],[Price]]*Table13[[#This Row],[Discount]],Table13[Price])</f>
        <v>784</v>
      </c>
    </row>
    <row r="14" spans="1:8">
      <c r="A14" s="13">
        <v>1004</v>
      </c>
      <c r="B14" s="31">
        <v>44232</v>
      </c>
      <c r="C14" s="13" t="s">
        <v>215</v>
      </c>
      <c r="D14" s="13" t="s">
        <v>213</v>
      </c>
      <c r="E14" s="13" t="s">
        <v>220</v>
      </c>
      <c r="F14" s="153">
        <v>544.99</v>
      </c>
      <c r="G14" s="30"/>
      <c r="H14" s="153">
        <f>IF(Table13[[#This Row],[Discount]]&lt;&gt;0,Table13[[#This Row],[Price]]-Table13[[#This Row],[Price]]*Table13[[#This Row],[Discount]],Table13[Price])</f>
        <v>544.99</v>
      </c>
    </row>
    <row r="15" spans="1:8">
      <c r="A15" s="13">
        <v>1005</v>
      </c>
      <c r="B15" s="31">
        <v>44241</v>
      </c>
      <c r="C15" s="13" t="s">
        <v>212</v>
      </c>
      <c r="D15" s="13" t="s">
        <v>213</v>
      </c>
      <c r="E15" s="13" t="s">
        <v>221</v>
      </c>
      <c r="F15" s="153">
        <v>1172</v>
      </c>
      <c r="G15" s="30">
        <v>0.06</v>
      </c>
      <c r="H15" s="153">
        <f>IF(Table13[[#This Row],[Discount]]&lt;&gt;0,Table13[[#This Row],[Price]]-Table13[[#This Row],[Price]]*Table13[[#This Row],[Discount]],Table13[Price])</f>
        <v>1101.68</v>
      </c>
    </row>
    <row r="16" spans="1:8">
      <c r="A16" s="13">
        <v>1006</v>
      </c>
      <c r="B16" s="31">
        <v>44241</v>
      </c>
      <c r="C16" s="13" t="s">
        <v>212</v>
      </c>
      <c r="D16" s="13" t="s">
        <v>213</v>
      </c>
      <c r="E16" s="13" t="s">
        <v>220</v>
      </c>
      <c r="F16" s="153">
        <v>544.99</v>
      </c>
      <c r="G16" s="30">
        <v>0.06</v>
      </c>
      <c r="H16" s="153">
        <f>IF(Table13[[#This Row],[Discount]]&lt;&gt;0,Table13[[#This Row],[Price]]-Table13[[#This Row],[Price]]*Table13[[#This Row],[Discount]],Table13[Price])</f>
        <v>512.29060000000004</v>
      </c>
    </row>
    <row r="17" spans="1:8">
      <c r="A17" s="13">
        <v>1007</v>
      </c>
      <c r="B17" s="31">
        <v>44244</v>
      </c>
      <c r="C17" s="13" t="s">
        <v>212</v>
      </c>
      <c r="D17" s="13" t="s">
        <v>216</v>
      </c>
      <c r="E17" s="13" t="s">
        <v>222</v>
      </c>
      <c r="F17" s="153">
        <v>1409</v>
      </c>
      <c r="G17" s="30"/>
      <c r="H17" s="153">
        <f>IF(Table13[[#This Row],[Discount]]&lt;&gt;0,Table13[[#This Row],[Price]]-Table13[[#This Row],[Price]]*Table13[[#This Row],[Discount]],Table13[Price])</f>
        <v>1409</v>
      </c>
    </row>
    <row r="18" spans="1:8">
      <c r="A18" s="13">
        <v>1008</v>
      </c>
      <c r="B18" s="31">
        <v>44248</v>
      </c>
      <c r="C18" s="13" t="s">
        <v>212</v>
      </c>
      <c r="D18" s="13" t="s">
        <v>213</v>
      </c>
      <c r="E18" s="13" t="s">
        <v>223</v>
      </c>
      <c r="F18" s="153">
        <v>1599</v>
      </c>
      <c r="G18" s="30"/>
      <c r="H18" s="153">
        <f>IF(Table13[[#This Row],[Discount]]&lt;&gt;0,Table13[[#This Row],[Price]]-Table13[[#This Row],[Price]]*Table13[[#This Row],[Discount]],Table13[Price])</f>
        <v>1599</v>
      </c>
    </row>
    <row r="19" spans="1:8">
      <c r="A19" s="13">
        <v>1009</v>
      </c>
      <c r="B19" s="31">
        <v>44249</v>
      </c>
      <c r="C19" s="13" t="s">
        <v>212</v>
      </c>
      <c r="D19" s="13" t="s">
        <v>216</v>
      </c>
      <c r="E19" s="13" t="s">
        <v>217</v>
      </c>
      <c r="F19" s="153">
        <v>1254</v>
      </c>
      <c r="G19" s="30"/>
      <c r="H19" s="153">
        <f>IF(Table13[[#This Row],[Discount]]&lt;&gt;0,Table13[[#This Row],[Price]]-Table13[[#This Row],[Price]]*Table13[[#This Row],[Discount]],Table13[Price])</f>
        <v>1254</v>
      </c>
    </row>
    <row r="20" spans="1:8">
      <c r="A20" s="13">
        <v>1010</v>
      </c>
      <c r="B20" s="31">
        <v>44263</v>
      </c>
      <c r="C20" s="13" t="s">
        <v>212</v>
      </c>
      <c r="D20" s="13" t="s">
        <v>213</v>
      </c>
      <c r="E20" s="13" t="s">
        <v>223</v>
      </c>
      <c r="F20" s="153">
        <v>1599</v>
      </c>
      <c r="G20" s="30">
        <v>0.1</v>
      </c>
      <c r="H20" s="153">
        <f>IF(Table13[[#This Row],[Discount]]&lt;&gt;0,Table13[[#This Row],[Price]]-Table13[[#This Row],[Price]]*Table13[[#This Row],[Discount]],Table13[Price])</f>
        <v>1439.1</v>
      </c>
    </row>
    <row r="21" spans="1:8">
      <c r="A21" s="13">
        <v>1011</v>
      </c>
      <c r="B21" s="31">
        <v>44268</v>
      </c>
      <c r="C21" s="13" t="s">
        <v>215</v>
      </c>
      <c r="D21" s="13" t="s">
        <v>213</v>
      </c>
      <c r="E21" s="13" t="s">
        <v>223</v>
      </c>
      <c r="F21" s="153">
        <v>1599</v>
      </c>
      <c r="G21" s="30">
        <v>0.1</v>
      </c>
      <c r="H21" s="153">
        <f>IF(Table13[[#This Row],[Discount]]&lt;&gt;0,Table13[[#This Row],[Price]]-Table13[[#This Row],[Price]]*Table13[[#This Row],[Discount]],Table13[Price])</f>
        <v>1439.1</v>
      </c>
    </row>
    <row r="22" spans="1:8">
      <c r="A22" s="13">
        <v>1012</v>
      </c>
      <c r="B22" s="31">
        <v>44289</v>
      </c>
      <c r="C22" s="13" t="s">
        <v>212</v>
      </c>
      <c r="D22" s="13" t="s">
        <v>213</v>
      </c>
      <c r="E22" s="13" t="s">
        <v>223</v>
      </c>
      <c r="F22" s="153">
        <v>1599</v>
      </c>
      <c r="G22" s="30">
        <v>0.1</v>
      </c>
      <c r="H22" s="153">
        <f>IF(Table13[[#This Row],[Discount]]&lt;&gt;0,Table13[[#This Row],[Price]]-Table13[[#This Row],[Price]]*Table13[[#This Row],[Discount]],Table13[Price])</f>
        <v>1439.1</v>
      </c>
    </row>
    <row r="23" spans="1:8">
      <c r="A23" s="13">
        <v>1013</v>
      </c>
      <c r="B23" s="31">
        <v>44289</v>
      </c>
      <c r="C23" s="13" t="s">
        <v>212</v>
      </c>
      <c r="D23" s="13" t="s">
        <v>216</v>
      </c>
      <c r="E23" s="13" t="s">
        <v>222</v>
      </c>
      <c r="F23" s="153">
        <v>1409</v>
      </c>
      <c r="G23" s="30"/>
      <c r="H23" s="153">
        <f>IF(Table13[[#This Row],[Discount]]&lt;&gt;0,Table13[[#This Row],[Price]]-Table13[[#This Row],[Price]]*Table13[[#This Row],[Discount]],Table13[Price])</f>
        <v>1409</v>
      </c>
    </row>
    <row r="24" spans="1:8">
      <c r="A24" s="13">
        <v>1014</v>
      </c>
      <c r="B24" s="31">
        <v>44317</v>
      </c>
      <c r="C24" s="13" t="s">
        <v>218</v>
      </c>
      <c r="D24" s="13" t="s">
        <v>213</v>
      </c>
      <c r="E24" s="13" t="s">
        <v>221</v>
      </c>
      <c r="F24" s="153">
        <v>1172</v>
      </c>
      <c r="G24" s="30"/>
      <c r="H24" s="153">
        <f>IF(Table13[[#This Row],[Discount]]&lt;&gt;0,Table13[[#This Row],[Price]]-Table13[[#This Row],[Price]]*Table13[[#This Row],[Discount]],Table13[Price])</f>
        <v>1172</v>
      </c>
    </row>
    <row r="25" spans="1:8">
      <c r="A25" s="13">
        <v>1015</v>
      </c>
      <c r="B25" s="31">
        <v>44324</v>
      </c>
      <c r="C25" s="13" t="s">
        <v>212</v>
      </c>
      <c r="D25" s="13" t="s">
        <v>213</v>
      </c>
      <c r="E25" s="13" t="s">
        <v>224</v>
      </c>
      <c r="F25" s="153">
        <v>785.99</v>
      </c>
      <c r="G25" s="30"/>
      <c r="H25" s="153">
        <f>IF(Table13[[#This Row],[Discount]]&lt;&gt;0,Table13[[#This Row],[Price]]-Table13[[#This Row],[Price]]*Table13[[#This Row],[Discount]],Table13[Price])</f>
        <v>785.99</v>
      </c>
    </row>
    <row r="26" spans="1:8">
      <c r="A26" s="13">
        <v>1016</v>
      </c>
      <c r="B26" s="31">
        <v>44325</v>
      </c>
      <c r="C26" s="13" t="s">
        <v>212</v>
      </c>
      <c r="D26" s="13" t="s">
        <v>213</v>
      </c>
      <c r="E26" s="13" t="s">
        <v>221</v>
      </c>
      <c r="F26" s="153">
        <v>1172</v>
      </c>
      <c r="G26" s="30"/>
      <c r="H26" s="153">
        <f>IF(Table13[[#This Row],[Discount]]&lt;&gt;0,Table13[[#This Row],[Price]]-Table13[[#This Row],[Price]]*Table13[[#This Row],[Discount]],Table13[Price])</f>
        <v>1172</v>
      </c>
    </row>
    <row r="27" spans="1:8">
      <c r="A27" s="13">
        <v>1017</v>
      </c>
      <c r="B27" s="31">
        <v>44341</v>
      </c>
      <c r="C27" s="13" t="s">
        <v>215</v>
      </c>
      <c r="D27" s="13" t="s">
        <v>213</v>
      </c>
      <c r="E27" s="13" t="s">
        <v>220</v>
      </c>
      <c r="F27" s="153">
        <v>544.99</v>
      </c>
      <c r="G27" s="30"/>
      <c r="H27" s="153">
        <f>IF(Table13[[#This Row],[Discount]]&lt;&gt;0,Table13[[#This Row],[Price]]-Table13[[#This Row],[Price]]*Table13[[#This Row],[Discount]],Table13[Price])</f>
        <v>544.99</v>
      </c>
    </row>
    <row r="28" spans="1:8">
      <c r="A28" s="13">
        <v>1018</v>
      </c>
      <c r="B28" s="31">
        <v>44344</v>
      </c>
      <c r="C28" s="13" t="s">
        <v>212</v>
      </c>
      <c r="D28" s="13" t="s">
        <v>216</v>
      </c>
      <c r="E28" s="13" t="s">
        <v>225</v>
      </c>
      <c r="F28" s="153">
        <v>849</v>
      </c>
      <c r="G28" s="30"/>
      <c r="H28" s="153">
        <f>IF(Table13[[#This Row],[Discount]]&lt;&gt;0,Table13[[#This Row],[Price]]-Table13[[#This Row],[Price]]*Table13[[#This Row],[Discount]],Table13[Price])</f>
        <v>849</v>
      </c>
    </row>
    <row r="29" spans="1:8">
      <c r="A29" s="13">
        <v>1019</v>
      </c>
      <c r="B29" s="31">
        <v>44367</v>
      </c>
      <c r="C29" s="13" t="s">
        <v>212</v>
      </c>
      <c r="D29" s="13" t="s">
        <v>213</v>
      </c>
      <c r="E29" s="13" t="s">
        <v>223</v>
      </c>
      <c r="F29" s="153">
        <v>1599</v>
      </c>
      <c r="G29" s="30">
        <v>0.12</v>
      </c>
      <c r="H29" s="153">
        <f>IF(Table13[[#This Row],[Discount]]&lt;&gt;0,Table13[[#This Row],[Price]]-Table13[[#This Row],[Price]]*Table13[[#This Row],[Discount]],Table13[Price])</f>
        <v>1407.12</v>
      </c>
    </row>
    <row r="30" spans="1:8">
      <c r="A30" s="13">
        <v>1020</v>
      </c>
      <c r="B30" s="31">
        <v>44368</v>
      </c>
      <c r="C30" s="13" t="s">
        <v>212</v>
      </c>
      <c r="D30" s="13" t="s">
        <v>216</v>
      </c>
      <c r="E30" s="13" t="s">
        <v>217</v>
      </c>
      <c r="F30" s="153">
        <v>1254</v>
      </c>
      <c r="G30" s="30">
        <v>0.12</v>
      </c>
      <c r="H30" s="153">
        <f>IF(Table13[[#This Row],[Discount]]&lt;&gt;0,Table13[[#This Row],[Price]]-Table13[[#This Row],[Price]]*Table13[[#This Row],[Discount]],Table13[Price])</f>
        <v>1103.52</v>
      </c>
    </row>
    <row r="31" spans="1:8">
      <c r="A31" s="13">
        <v>1021</v>
      </c>
      <c r="B31" s="31">
        <v>44372</v>
      </c>
      <c r="C31" s="13" t="s">
        <v>215</v>
      </c>
      <c r="D31" s="13" t="s">
        <v>216</v>
      </c>
      <c r="E31" s="13" t="s">
        <v>226</v>
      </c>
      <c r="F31" s="153">
        <v>759.87</v>
      </c>
      <c r="G31" s="30"/>
      <c r="H31" s="153">
        <f>IF(Table13[[#This Row],[Discount]]&lt;&gt;0,Table13[[#This Row],[Price]]-Table13[[#This Row],[Price]]*Table13[[#This Row],[Discount]],Table13[Price])</f>
        <v>759.87</v>
      </c>
    </row>
    <row r="32" spans="1:8">
      <c r="A32" s="13">
        <v>1022</v>
      </c>
      <c r="B32" s="31">
        <v>44381</v>
      </c>
      <c r="C32" s="13" t="s">
        <v>218</v>
      </c>
      <c r="D32" s="13" t="s">
        <v>213</v>
      </c>
      <c r="E32" s="13" t="s">
        <v>227</v>
      </c>
      <c r="F32" s="153">
        <v>700</v>
      </c>
      <c r="G32" s="30"/>
      <c r="H32" s="153">
        <f>IF(Table13[[#This Row],[Discount]]&lt;&gt;0,Table13[[#This Row],[Price]]-Table13[[#This Row],[Price]]*Table13[[#This Row],[Discount]],Table13[Price])</f>
        <v>700</v>
      </c>
    </row>
    <row r="33" spans="1:8">
      <c r="A33" s="13">
        <v>1023</v>
      </c>
      <c r="B33" s="31">
        <v>44399</v>
      </c>
      <c r="C33" s="13" t="s">
        <v>212</v>
      </c>
      <c r="D33" s="13" t="s">
        <v>216</v>
      </c>
      <c r="E33" s="13" t="s">
        <v>222</v>
      </c>
      <c r="F33" s="153">
        <v>1409</v>
      </c>
      <c r="G33" s="30"/>
      <c r="H33" s="153">
        <f>IF(Table13[[#This Row],[Discount]]&lt;&gt;0,Table13[[#This Row],[Price]]-Table13[[#This Row],[Price]]*Table13[[#This Row],[Discount]],Table13[Price])</f>
        <v>1409</v>
      </c>
    </row>
    <row r="34" spans="1:8">
      <c r="A34" s="13">
        <v>1024</v>
      </c>
      <c r="B34" s="31">
        <v>44403</v>
      </c>
      <c r="C34" s="13" t="s">
        <v>215</v>
      </c>
      <c r="D34" s="13" t="s">
        <v>213</v>
      </c>
      <c r="E34" s="13" t="s">
        <v>224</v>
      </c>
      <c r="F34" s="153">
        <v>785.99</v>
      </c>
      <c r="G34" s="30"/>
      <c r="H34" s="153">
        <f>IF(Table13[[#This Row],[Discount]]&lt;&gt;0,Table13[[#This Row],[Price]]-Table13[[#This Row],[Price]]*Table13[[#This Row],[Discount]],Table13[Price])</f>
        <v>785.99</v>
      </c>
    </row>
    <row r="35" spans="1:8">
      <c r="A35" s="13">
        <v>1025</v>
      </c>
      <c r="B35" s="31">
        <v>44403</v>
      </c>
      <c r="C35" s="13" t="s">
        <v>212</v>
      </c>
      <c r="D35" s="13" t="s">
        <v>213</v>
      </c>
      <c r="E35" s="13" t="s">
        <v>220</v>
      </c>
      <c r="F35" s="153">
        <v>544.99</v>
      </c>
      <c r="G35" s="30"/>
      <c r="H35" s="153">
        <f>IF(Table13[[#This Row],[Discount]]&lt;&gt;0,Table13[[#This Row],[Price]]-Table13[[#This Row],[Price]]*Table13[[#This Row],[Discount]],Table13[Price])</f>
        <v>544.99</v>
      </c>
    </row>
    <row r="36" spans="1:8">
      <c r="A36" s="13">
        <v>1026</v>
      </c>
      <c r="B36" s="31">
        <v>44415</v>
      </c>
      <c r="C36" s="13" t="s">
        <v>218</v>
      </c>
      <c r="D36" s="13" t="s">
        <v>213</v>
      </c>
      <c r="E36" s="13" t="s">
        <v>224</v>
      </c>
      <c r="F36" s="153">
        <v>785.99</v>
      </c>
      <c r="G36" s="30"/>
      <c r="H36" s="153">
        <f>IF(Table13[[#This Row],[Discount]]&lt;&gt;0,Table13[[#This Row],[Price]]-Table13[[#This Row],[Price]]*Table13[[#This Row],[Discount]],Table13[Price])</f>
        <v>785.99</v>
      </c>
    </row>
    <row r="37" spans="1:8">
      <c r="A37" s="13">
        <v>1027</v>
      </c>
      <c r="B37" s="31">
        <v>44416</v>
      </c>
      <c r="C37" s="13" t="s">
        <v>215</v>
      </c>
      <c r="D37" s="13" t="s">
        <v>216</v>
      </c>
      <c r="E37" s="13" t="s">
        <v>226</v>
      </c>
      <c r="F37" s="153">
        <v>759.87</v>
      </c>
      <c r="G37" s="30"/>
      <c r="H37" s="153">
        <f>IF(Table13[[#This Row],[Discount]]&lt;&gt;0,Table13[[#This Row],[Price]]-Table13[[#This Row],[Price]]*Table13[[#This Row],[Discount]],Table13[Price])</f>
        <v>759.87</v>
      </c>
    </row>
    <row r="38" spans="1:8">
      <c r="A38" s="13">
        <v>1028</v>
      </c>
      <c r="B38" s="31">
        <v>44422</v>
      </c>
      <c r="C38" s="13" t="s">
        <v>212</v>
      </c>
      <c r="D38" s="13" t="s">
        <v>213</v>
      </c>
      <c r="E38" s="13" t="s">
        <v>223</v>
      </c>
      <c r="F38" s="153">
        <v>1599</v>
      </c>
      <c r="G38" s="30">
        <v>0.05</v>
      </c>
      <c r="H38" s="153">
        <f>IF(Table13[[#This Row],[Discount]]&lt;&gt;0,Table13[[#This Row],[Price]]-Table13[[#This Row],[Price]]*Table13[[#This Row],[Discount]],Table13[Price])</f>
        <v>1519.05</v>
      </c>
    </row>
    <row r="39" spans="1:8">
      <c r="A39" s="13">
        <v>1029</v>
      </c>
      <c r="B39" s="31">
        <v>44423</v>
      </c>
      <c r="C39" s="13" t="s">
        <v>212</v>
      </c>
      <c r="D39" s="13" t="s">
        <v>216</v>
      </c>
      <c r="E39" s="13" t="s">
        <v>217</v>
      </c>
      <c r="F39" s="153">
        <v>1254</v>
      </c>
      <c r="G39" s="30"/>
      <c r="H39" s="153">
        <f>IF(Table13[[#This Row],[Discount]]&lt;&gt;0,Table13[[#This Row],[Price]]-Table13[[#This Row],[Price]]*Table13[[#This Row],[Discount]],Table13[Price])</f>
        <v>1254</v>
      </c>
    </row>
    <row r="40" spans="1:8">
      <c r="A40" s="13">
        <v>1030</v>
      </c>
      <c r="B40" s="31">
        <v>44427</v>
      </c>
      <c r="C40" s="13" t="s">
        <v>212</v>
      </c>
      <c r="D40" s="13" t="s">
        <v>213</v>
      </c>
      <c r="E40" s="13" t="s">
        <v>223</v>
      </c>
      <c r="F40" s="153">
        <v>1599</v>
      </c>
      <c r="G40" s="30"/>
      <c r="H40" s="153">
        <f>IF(Table13[[#This Row],[Discount]]&lt;&gt;0,Table13[[#This Row],[Price]]-Table13[[#This Row],[Price]]*Table13[[#This Row],[Discount]],Table13[Price])</f>
        <v>1599</v>
      </c>
    </row>
    <row r="41" spans="1:8">
      <c r="A41" s="13">
        <v>1031</v>
      </c>
      <c r="B41" s="31">
        <v>44428</v>
      </c>
      <c r="C41" s="13" t="s">
        <v>212</v>
      </c>
      <c r="D41" s="13" t="s">
        <v>216</v>
      </c>
      <c r="E41" s="13" t="s">
        <v>217</v>
      </c>
      <c r="F41" s="153">
        <v>1254</v>
      </c>
      <c r="G41" s="30"/>
      <c r="H41" s="153">
        <f>IF(Table13[[#This Row],[Discount]]&lt;&gt;0,Table13[[#This Row],[Price]]-Table13[[#This Row],[Price]]*Table13[[#This Row],[Discount]],Table13[Price])</f>
        <v>1254</v>
      </c>
    </row>
    <row r="42" spans="1:8">
      <c r="A42" s="13">
        <v>1032</v>
      </c>
      <c r="B42" s="31">
        <v>44432</v>
      </c>
      <c r="C42" s="13" t="s">
        <v>218</v>
      </c>
      <c r="D42" s="13" t="s">
        <v>213</v>
      </c>
      <c r="E42" s="13" t="s">
        <v>223</v>
      </c>
      <c r="F42" s="153">
        <v>1599</v>
      </c>
      <c r="G42" s="30"/>
      <c r="H42" s="153">
        <f>IF(Table13[[#This Row],[Discount]]&lt;&gt;0,Table13[[#This Row],[Price]]-Table13[[#This Row],[Price]]*Table13[[#This Row],[Discount]],Table13[Price])</f>
        <v>1599</v>
      </c>
    </row>
    <row r="43" spans="1:8">
      <c r="A43" s="13">
        <v>1033</v>
      </c>
      <c r="B43" s="31">
        <v>44437</v>
      </c>
      <c r="C43" s="13" t="s">
        <v>212</v>
      </c>
      <c r="D43" s="13" t="s">
        <v>213</v>
      </c>
      <c r="E43" s="13" t="s">
        <v>223</v>
      </c>
      <c r="F43" s="153">
        <v>1599</v>
      </c>
      <c r="G43" s="30"/>
      <c r="H43" s="153">
        <f>IF(Table13[[#This Row],[Discount]]&lt;&gt;0,Table13[[#This Row],[Price]]-Table13[[#This Row],[Price]]*Table13[[#This Row],[Discount]],Table13[Price])</f>
        <v>1599</v>
      </c>
    </row>
    <row r="44" spans="1:8">
      <c r="A44" s="13">
        <v>1034</v>
      </c>
      <c r="B44" s="31">
        <v>44439</v>
      </c>
      <c r="C44" s="13" t="s">
        <v>215</v>
      </c>
      <c r="D44" s="13" t="s">
        <v>213</v>
      </c>
      <c r="E44" s="13" t="s">
        <v>223</v>
      </c>
      <c r="F44" s="153">
        <v>1599</v>
      </c>
      <c r="G44" s="30"/>
      <c r="H44" s="153">
        <f>IF(Table13[[#This Row],[Discount]]&lt;&gt;0,Table13[[#This Row],[Price]]-Table13[[#This Row],[Price]]*Table13[[#This Row],[Discount]],Table13[Price])</f>
        <v>1599</v>
      </c>
    </row>
    <row r="45" spans="1:8">
      <c r="A45" s="13">
        <v>1035</v>
      </c>
      <c r="B45" s="31">
        <v>44453</v>
      </c>
      <c r="C45" s="13" t="s">
        <v>212</v>
      </c>
      <c r="D45" s="13" t="s">
        <v>213</v>
      </c>
      <c r="E45" s="13" t="s">
        <v>223</v>
      </c>
      <c r="F45" s="153">
        <v>1599</v>
      </c>
      <c r="G45" s="30">
        <v>0.05</v>
      </c>
      <c r="H45" s="153">
        <f>IF(Table13[[#This Row],[Discount]]&lt;&gt;0,Table13[[#This Row],[Price]]-Table13[[#This Row],[Price]]*Table13[[#This Row],[Discount]],Table13[Price])</f>
        <v>1519.05</v>
      </c>
    </row>
    <row r="46" spans="1:8">
      <c r="A46" s="13">
        <v>1036</v>
      </c>
      <c r="B46" s="31">
        <v>44455</v>
      </c>
      <c r="C46" s="13" t="s">
        <v>212</v>
      </c>
      <c r="D46" s="13" t="s">
        <v>216</v>
      </c>
      <c r="E46" s="13" t="s">
        <v>225</v>
      </c>
      <c r="F46" s="153">
        <v>849</v>
      </c>
      <c r="G46" s="30"/>
      <c r="H46" s="153">
        <f>IF(Table13[[#This Row],[Discount]]&lt;&gt;0,Table13[[#This Row],[Price]]-Table13[[#This Row],[Price]]*Table13[[#This Row],[Discount]],Table13[Price])</f>
        <v>849</v>
      </c>
    </row>
    <row r="47" spans="1:8">
      <c r="A47" s="13">
        <v>1037</v>
      </c>
      <c r="B47" s="31">
        <v>44455</v>
      </c>
      <c r="C47" s="13" t="s">
        <v>212</v>
      </c>
      <c r="D47" s="13" t="s">
        <v>213</v>
      </c>
      <c r="E47" s="13" t="s">
        <v>227</v>
      </c>
      <c r="F47" s="153">
        <v>700</v>
      </c>
      <c r="G47" s="30"/>
      <c r="H47" s="153">
        <f>IF(Table13[[#This Row],[Discount]]&lt;&gt;0,Table13[[#This Row],[Price]]-Table13[[#This Row],[Price]]*Table13[[#This Row],[Discount]],Table13[Price])</f>
        <v>700</v>
      </c>
    </row>
    <row r="48" spans="1:8">
      <c r="A48" s="13">
        <v>1038</v>
      </c>
      <c r="B48" s="31">
        <v>44455</v>
      </c>
      <c r="C48" s="13" t="s">
        <v>212</v>
      </c>
      <c r="D48" s="13" t="s">
        <v>216</v>
      </c>
      <c r="E48" s="13" t="s">
        <v>228</v>
      </c>
      <c r="F48" s="153">
        <v>399</v>
      </c>
      <c r="G48" s="30"/>
      <c r="H48" s="153">
        <f>IF(Table13[[#This Row],[Discount]]&lt;&gt;0,Table13[[#This Row],[Price]]-Table13[[#This Row],[Price]]*Table13[[#This Row],[Discount]],Table13[Price])</f>
        <v>399</v>
      </c>
    </row>
    <row r="49" spans="1:8">
      <c r="A49" s="13">
        <v>1039</v>
      </c>
      <c r="B49" s="31">
        <v>44484</v>
      </c>
      <c r="C49" s="13" t="s">
        <v>215</v>
      </c>
      <c r="D49" s="13" t="s">
        <v>213</v>
      </c>
      <c r="E49" s="13" t="s">
        <v>221</v>
      </c>
      <c r="F49" s="153">
        <v>1172</v>
      </c>
      <c r="G49" s="30">
        <v>0.1</v>
      </c>
      <c r="H49" s="153">
        <f>IF(Table13[[#This Row],[Discount]]&lt;&gt;0,Table13[[#This Row],[Price]]-Table13[[#This Row],[Price]]*Table13[[#This Row],[Discount]],Table13[Price])</f>
        <v>1054.8</v>
      </c>
    </row>
    <row r="50" spans="1:8">
      <c r="A50" s="13">
        <v>1040</v>
      </c>
      <c r="B50" s="31">
        <v>44499</v>
      </c>
      <c r="C50" s="13" t="s">
        <v>212</v>
      </c>
      <c r="D50" s="13" t="s">
        <v>213</v>
      </c>
      <c r="E50" s="13" t="s">
        <v>224</v>
      </c>
      <c r="F50" s="153">
        <v>785.99</v>
      </c>
      <c r="G50" s="30"/>
      <c r="H50" s="153">
        <f>IF(Table13[[#This Row],[Discount]]&lt;&gt;0,Table13[[#This Row],[Price]]-Table13[[#This Row],[Price]]*Table13[[#This Row],[Discount]],Table13[Price])</f>
        <v>785.99</v>
      </c>
    </row>
  </sheetData>
  <mergeCells count="6">
    <mergeCell ref="A8:C8"/>
    <mergeCell ref="A3:C3"/>
    <mergeCell ref="A4:C4"/>
    <mergeCell ref="A5:C5"/>
    <mergeCell ref="A6:C6"/>
    <mergeCell ref="A7:C7"/>
  </mergeCells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3A2B211AB2CA47B1BC903360B652AD" ma:contentTypeVersion="11" ma:contentTypeDescription="Create a new document." ma:contentTypeScope="" ma:versionID="1115a3a5780b04eb9e19fe48d67769d6">
  <xsd:schema xmlns:xsd="http://www.w3.org/2001/XMLSchema" xmlns:xs="http://www.w3.org/2001/XMLSchema" xmlns:p="http://schemas.microsoft.com/office/2006/metadata/properties" xmlns:ns2="773ae310-5f92-4ed5-9a69-95b833cc21b2" xmlns:ns3="7217be1f-df24-4ed7-b2fe-cb2789e1ed5f" targetNamespace="http://schemas.microsoft.com/office/2006/metadata/properties" ma:root="true" ma:fieldsID="f93bc77c4f249538b0f8abd326b665e5" ns2:_="" ns3:_="">
    <xsd:import namespace="773ae310-5f92-4ed5-9a69-95b833cc21b2"/>
    <xsd:import namespace="7217be1f-df24-4ed7-b2fe-cb2789e1ed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3ae310-5f92-4ed5-9a69-95b833cc21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b3e194f-0e8c-4526-a92f-53e42d4129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17be1f-df24-4ed7-b2fe-cb2789e1ed5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321f21c-461b-4774-b1d3-d56dfe058ef7}" ma:internalName="TaxCatchAll" ma:showField="CatchAllData" ma:web="7217be1f-df24-4ed7-b2fe-cb2789e1ed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17be1f-df24-4ed7-b2fe-cb2789e1ed5f" xsi:nil="true"/>
    <lcf76f155ced4ddcb4097134ff3c332f xmlns="773ae310-5f92-4ed5-9a69-95b833cc21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28EA0C-FA97-434C-9F69-9DFEB3517B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3ae310-5f92-4ed5-9a69-95b833cc21b2"/>
    <ds:schemaRef ds:uri="7217be1f-df24-4ed7-b2fe-cb2789e1ed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C95380-0178-4744-81C0-4643B2732424}">
  <ds:schemaRefs>
    <ds:schemaRef ds:uri="http://schemas.microsoft.com/office/2006/metadata/properties"/>
    <ds:schemaRef ds:uri="http://schemas.microsoft.com/office/infopath/2007/PartnerControls"/>
    <ds:schemaRef ds:uri="7217be1f-df24-4ed7-b2fe-cb2789e1ed5f"/>
    <ds:schemaRef ds:uri="773ae310-5f92-4ed5-9a69-95b833cc21b2"/>
  </ds:schemaRefs>
</ds:datastoreItem>
</file>

<file path=customXml/itemProps3.xml><?xml version="1.0" encoding="utf-8"?>
<ds:datastoreItem xmlns:ds="http://schemas.openxmlformats.org/officeDocument/2006/customXml" ds:itemID="{C96D9EA3-D178-4C2D-A883-13ACF2C881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IF &amp; Nested IF</vt:lpstr>
      <vt:lpstr>IF AND, IF OR</vt:lpstr>
      <vt:lpstr>SumIF &amp; SumIFs</vt:lpstr>
      <vt:lpstr>AverageIF &amp; AverageIFs</vt:lpstr>
      <vt:lpstr>Count IF &amp; Count IFs</vt:lpstr>
      <vt:lpstr>Example</vt:lpstr>
    </vt:vector>
  </TitlesOfParts>
  <Manager/>
  <Company>Knowledge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Eng.Nouran ElZeky</dc:creator>
  <cp:keywords/>
  <dc:description/>
  <cp:lastModifiedBy>Menna AbdelNasser Ramadan Elnagar</cp:lastModifiedBy>
  <cp:revision/>
  <dcterms:created xsi:type="dcterms:W3CDTF">2009-11-10T20:58:16Z</dcterms:created>
  <dcterms:modified xsi:type="dcterms:W3CDTF">2026-08-21T21:23:10Z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0x010100F53A2B211AB2CA47B1BC903360B652AD</vt:lpwstr>
  </property>
  <property fmtid="{D5CDD505-2E9C-101B-9397-08002B2CF9AE}" pid="3" name="MediaServiceImageTags">
    <vt:lpwstr/>
  </property>
</Properties>
</file>