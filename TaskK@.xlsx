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depi\data\"/>
    </mc:Choice>
  </mc:AlternateContent>
  <xr:revisionPtr revIDLastSave="0" documentId="13_ncr:1_{74A4F2D7-879A-41BB-92C4-DEC305A8DD8E}" xr6:coauthVersionLast="47" xr6:coauthVersionMax="47" xr10:uidLastSave="{00000000-0000-0000-0000-000000000000}"/>
  <bookViews>
    <workbookView xWindow="-90" yWindow="0" windowWidth="9780" windowHeight="10890" xr2:uid="{283B2D2B-C293-4087-B485-2BDB2C500F12}"/>
  </bookViews>
  <sheets>
    <sheet name="Data" sheetId="6" r:id="rId1"/>
    <sheet name="Logic Functions" sheetId="1" r:id="rId2"/>
    <sheet name="Increase salary" sheetId="2" r:id="rId3"/>
    <sheet name="Text Functions" sheetId="3" r:id="rId4"/>
    <sheet name="Math" sheetId="4" r:id="rId5"/>
    <sheet name="Functions" sheetId="5" r:id="rId6"/>
  </sheets>
  <definedNames>
    <definedName name="_xlnm._FilterDatabase" localSheetId="1" hidden="1">'Logic Functions'!$A$1:$E$25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7" i="5"/>
  <c r="J11" i="4"/>
  <c r="J10" i="4"/>
  <c r="J5" i="4"/>
  <c r="H26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7" i="5"/>
  <c r="H7" i="5"/>
  <c r="J9" i="4"/>
  <c r="J8" i="4"/>
  <c r="J7" i="4"/>
  <c r="J6" i="4"/>
  <c r="J4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" i="3"/>
  <c r="D3" i="2"/>
  <c r="D4" i="2"/>
  <c r="D5" i="2"/>
  <c r="D6" i="2"/>
  <c r="D7" i="2"/>
  <c r="D8" i="2"/>
  <c r="D9" i="2"/>
  <c r="D10" i="2"/>
  <c r="D11" i="2"/>
  <c r="D2" i="2"/>
  <c r="C3" i="2"/>
  <c r="C4" i="2"/>
  <c r="C5" i="2"/>
  <c r="C6" i="2"/>
  <c r="C7" i="2"/>
  <c r="C8" i="2"/>
  <c r="C9" i="2"/>
  <c r="C10" i="2"/>
  <c r="C11" i="2"/>
  <c r="C2" i="2"/>
  <c r="E23" i="1"/>
  <c r="E24" i="1"/>
  <c r="E2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F2" i="3" l="1"/>
  <c r="G2" i="3"/>
</calcChain>
</file>

<file path=xl/sharedStrings.xml><?xml version="1.0" encoding="utf-8"?>
<sst xmlns="http://schemas.openxmlformats.org/spreadsheetml/2006/main" count="315" uniqueCount="198">
  <si>
    <t xml:space="preserve">   ID </t>
  </si>
  <si>
    <t xml:space="preserve"> Age </t>
  </si>
  <si>
    <t>Gender</t>
  </si>
  <si>
    <t>M</t>
  </si>
  <si>
    <t>F</t>
  </si>
  <si>
    <t>Answers (Q2)</t>
  </si>
  <si>
    <t>Answers (Q1)</t>
  </si>
  <si>
    <t xml:space="preserve"> Employee Name   </t>
  </si>
  <si>
    <t>Monthly Sales</t>
  </si>
  <si>
    <t>Bonus</t>
  </si>
  <si>
    <t>Mohamed Nasr</t>
  </si>
  <si>
    <t>Mohamed Ahmed</t>
  </si>
  <si>
    <t>Heba Araby</t>
  </si>
  <si>
    <t>Ahmed Ismail</t>
  </si>
  <si>
    <t>Zaky Ahmed</t>
  </si>
  <si>
    <t>Reham Saber</t>
  </si>
  <si>
    <t>Menna Mohamed</t>
  </si>
  <si>
    <t>Zyad Ibrahim</t>
  </si>
  <si>
    <t>Ahmed Magdy</t>
  </si>
  <si>
    <t>Mohamed Maged</t>
  </si>
  <si>
    <t>Q: Check if the employee has sales of more than 10000 then the "Bonus" should be 10% salary increase, if it's under 10000 then it's 0%</t>
  </si>
  <si>
    <t xml:space="preserve">Student Name     </t>
  </si>
  <si>
    <t xml:space="preserve">  Email                 </t>
  </si>
  <si>
    <t xml:space="preserve">  Phone Number    </t>
  </si>
  <si>
    <t>John Doe</t>
  </si>
  <si>
    <t>Jane Smith</t>
  </si>
  <si>
    <t>Alice Lee</t>
  </si>
  <si>
    <t xml:space="preserve"> (789) 123-4560</t>
  </si>
  <si>
    <t>Bob Brown</t>
  </si>
  <si>
    <t xml:space="preserve"> (234) 567-8901</t>
  </si>
  <si>
    <t>Emily Chen</t>
  </si>
  <si>
    <t xml:space="preserve">(567) 890-1234  </t>
  </si>
  <si>
    <t>Michael Wu</t>
  </si>
  <si>
    <t xml:space="preserve"> (890) 123-2345   </t>
  </si>
  <si>
    <t>Sarah Kim</t>
  </si>
  <si>
    <t>(345) 678-9012</t>
  </si>
  <si>
    <t>David Lee</t>
  </si>
  <si>
    <t xml:space="preserve">(678) 901-2345 </t>
  </si>
  <si>
    <t>Lisa Wang</t>
  </si>
  <si>
    <t>(123) 234-5678</t>
  </si>
  <si>
    <t>Kevin Liu</t>
  </si>
  <si>
    <t xml:space="preserve">(456) 567-8901 </t>
  </si>
  <si>
    <t>Mary Smith</t>
  </si>
  <si>
    <t xml:space="preserve">(789) 890-1234 </t>
  </si>
  <si>
    <t>Alex Chen</t>
  </si>
  <si>
    <t>(234) 345-6789</t>
  </si>
  <si>
    <t>Laura Wu</t>
  </si>
  <si>
    <t xml:space="preserve"> (567) 678-9012</t>
  </si>
  <si>
    <t>Brian Kim</t>
  </si>
  <si>
    <t xml:space="preserve"> (890) 901-2345</t>
  </si>
  <si>
    <t>Olivia Lin</t>
  </si>
  <si>
    <t xml:space="preserve"> (345) 456-7890</t>
  </si>
  <si>
    <t>James Wong</t>
  </si>
  <si>
    <t xml:space="preserve">(678) 567-8901 </t>
  </si>
  <si>
    <t>Grace Liu</t>
  </si>
  <si>
    <t>(123) 678-9012</t>
  </si>
  <si>
    <t>Thomas Ng</t>
  </si>
  <si>
    <t>(456) 789-0123</t>
  </si>
  <si>
    <t>Ava Wu</t>
  </si>
  <si>
    <t>(789) 012-3456</t>
  </si>
  <si>
    <t>Ethan Lee</t>
  </si>
  <si>
    <t xml:space="preserve">(234) 123-4567  </t>
  </si>
  <si>
    <t>Mobile code</t>
  </si>
  <si>
    <t>Number</t>
  </si>
  <si>
    <t>Student Information</t>
  </si>
  <si>
    <t>Studen Email</t>
  </si>
  <si>
    <t>Q1: Separate Mobile Code  from the phone number</t>
  </si>
  <si>
    <t>Q2:combine the name with mobile number with "-" as seprators</t>
  </si>
  <si>
    <t xml:space="preserve">  john@gmail.com      </t>
  </si>
  <si>
    <t xml:space="preserve">  jane@gmail.com    </t>
  </si>
  <si>
    <t xml:space="preserve">  alice@gmail.com     </t>
  </si>
  <si>
    <t xml:space="preserve">  bob@gmail.com       </t>
  </si>
  <si>
    <t xml:space="preserve">emily@gmail.com     </t>
  </si>
  <si>
    <t xml:space="preserve">michael@gmail.com   </t>
  </si>
  <si>
    <t xml:space="preserve">  sarah@gmail.com     </t>
  </si>
  <si>
    <t xml:space="preserve">  david@gmail.com     </t>
  </si>
  <si>
    <t xml:space="preserve">  lisa@gmail.com      </t>
  </si>
  <si>
    <t xml:space="preserve">  kevin@gmail.com     </t>
  </si>
  <si>
    <t xml:space="preserve"> mary@gmail.com    </t>
  </si>
  <si>
    <t xml:space="preserve">  alex@gmail.com      </t>
  </si>
  <si>
    <t xml:space="preserve">  laura@gmail.com     </t>
  </si>
  <si>
    <t xml:space="preserve">  brian@gmail.com     </t>
  </si>
  <si>
    <t xml:space="preserve">olivia@gmail.com     </t>
  </si>
  <si>
    <t xml:space="preserve"> james@gmail.com      </t>
  </si>
  <si>
    <t xml:space="preserve">  grace@gmail.com     </t>
  </si>
  <si>
    <t xml:space="preserve">  thomas@gmail.com    </t>
  </si>
  <si>
    <t xml:space="preserve">  ava@gmail.com       </t>
  </si>
  <si>
    <t xml:space="preserve">  ethan@gmail.com     </t>
  </si>
  <si>
    <t>Q3: Change the mail domain from "gmail.com" to "@outlook.com"</t>
  </si>
  <si>
    <t>capital letters</t>
  </si>
  <si>
    <t>small letters</t>
  </si>
  <si>
    <t>The first capital letter</t>
  </si>
  <si>
    <t xml:space="preserve">  TRIM                 </t>
  </si>
  <si>
    <t xml:space="preserve">  RIGHT                 </t>
  </si>
  <si>
    <t xml:space="preserve">  LEFT                 </t>
  </si>
  <si>
    <t xml:space="preserve">  MID                 </t>
  </si>
  <si>
    <t>Q4: Make the email all capital letters once, then all letters lower case, then the first letter capital</t>
  </si>
  <si>
    <t>Q5: Remove extra spaces in the email</t>
  </si>
  <si>
    <t>Q6: Cut the email from the right once, from the left once, and from the middle</t>
  </si>
  <si>
    <t xml:space="preserve">Sales </t>
  </si>
  <si>
    <t>COUNTA</t>
  </si>
  <si>
    <t>COUNT</t>
  </si>
  <si>
    <t>SUM</t>
  </si>
  <si>
    <t>AVERAGE</t>
  </si>
  <si>
    <t>MIN</t>
  </si>
  <si>
    <t>MAX</t>
  </si>
  <si>
    <t>Fifth highest sales</t>
  </si>
  <si>
    <t>Fourth lowest sales</t>
  </si>
  <si>
    <t>IT Manager</t>
  </si>
  <si>
    <t>Sales Manager</t>
  </si>
  <si>
    <t>HR Specialist</t>
  </si>
  <si>
    <t>Software developer</t>
  </si>
  <si>
    <t>Accountant</t>
  </si>
  <si>
    <t>محمد نصر إبراهيم</t>
  </si>
  <si>
    <t>حازم هيثم</t>
  </si>
  <si>
    <t>مريم أحمد</t>
  </si>
  <si>
    <t>إسلام حسام</t>
  </si>
  <si>
    <t>إبراهيم ذكي محمد</t>
  </si>
  <si>
    <t>مريم ماهر</t>
  </si>
  <si>
    <t>محمد محمود الجيد</t>
  </si>
  <si>
    <t>أحمد خالد حسن</t>
  </si>
  <si>
    <t>أحمد السيد الطوانسي</t>
  </si>
  <si>
    <t>محمد عيد</t>
  </si>
  <si>
    <t>زياد السيد سعد</t>
  </si>
  <si>
    <t>أحمد طارق المجد</t>
  </si>
  <si>
    <t>نورهان خيري</t>
  </si>
  <si>
    <t>يوسف طارق شرارة</t>
  </si>
  <si>
    <t>يوسف تامر</t>
  </si>
  <si>
    <t>محمد علاء سليم</t>
  </si>
  <si>
    <t>مي محمد أحمد</t>
  </si>
  <si>
    <t>نهاد صابر السيد حسن</t>
  </si>
  <si>
    <t>ناهد محمد السيد توفيق عياد</t>
  </si>
  <si>
    <t>صابر علي</t>
  </si>
  <si>
    <t>سعد محمد السيد</t>
  </si>
  <si>
    <t>حازم سيد حسن</t>
  </si>
  <si>
    <t>محمد عمر غريب</t>
  </si>
  <si>
    <t>محمد خطاب</t>
  </si>
  <si>
    <t>إسلام فادي</t>
  </si>
  <si>
    <t>محمود عواد</t>
  </si>
  <si>
    <t>شرين السيد سعد</t>
  </si>
  <si>
    <t>فاطمة سنار محمد</t>
  </si>
  <si>
    <t>فاطمة صلاح عمران</t>
  </si>
  <si>
    <t>أماني أشرف محمد</t>
  </si>
  <si>
    <t>سها طارق حسن</t>
  </si>
  <si>
    <t>أبانوب سامح</t>
  </si>
  <si>
    <t>أحمد فوزي</t>
  </si>
  <si>
    <t>محمد رضا</t>
  </si>
  <si>
    <t>محمد حاتم</t>
  </si>
  <si>
    <t>شوكت إسماعيل</t>
  </si>
  <si>
    <t>محمد البدري</t>
  </si>
  <si>
    <t>عمر علاء</t>
  </si>
  <si>
    <t>يوسف محمد السيد حسن عتمان</t>
  </si>
  <si>
    <t>ميار محمد</t>
  </si>
  <si>
    <t>باسل الهلاوي</t>
  </si>
  <si>
    <t>علي فهمي</t>
  </si>
  <si>
    <t>كامل أحمد السيد</t>
  </si>
  <si>
    <t>عمر وائل</t>
  </si>
  <si>
    <t>أحمد علاء</t>
  </si>
  <si>
    <t>منه أدهم</t>
  </si>
  <si>
    <t>سلمي جمال</t>
  </si>
  <si>
    <t>نورهان شحاته</t>
  </si>
  <si>
    <t>يوسف مجدي</t>
  </si>
  <si>
    <t>سامي صلاح</t>
  </si>
  <si>
    <t>روان محسن الطحان</t>
  </si>
  <si>
    <t>هدي محمد</t>
  </si>
  <si>
    <t>محمد هاني عنتر</t>
  </si>
  <si>
    <t>محمد هشام</t>
  </si>
  <si>
    <t>أحمد طارق العسال</t>
  </si>
  <si>
    <t>سيف أيمن مجاهد</t>
  </si>
  <si>
    <t>مؤمن أسامة</t>
  </si>
  <si>
    <t>محمد صالح الجيد</t>
  </si>
  <si>
    <t>سيف ممدوح الديب</t>
  </si>
  <si>
    <t>أشرف محمد صلاح</t>
  </si>
  <si>
    <t>إسراء عصام</t>
  </si>
  <si>
    <t>مؤمن سمير</t>
  </si>
  <si>
    <t>HR</t>
  </si>
  <si>
    <t>Sales officer</t>
  </si>
  <si>
    <t>Marketing</t>
  </si>
  <si>
    <t>Data scientist</t>
  </si>
  <si>
    <t>Web developer</t>
  </si>
  <si>
    <t>Data analyst</t>
  </si>
  <si>
    <t>الإسم</t>
  </si>
  <si>
    <t>الوظيفة</t>
  </si>
  <si>
    <t>Q1:Use the search equation to find the right solution</t>
  </si>
  <si>
    <t>Q2:Using equations, count the number of words in the column of names on the sheet</t>
  </si>
  <si>
    <r>
      <t xml:space="preserve">Q2:If an individual is either female (F) </t>
    </r>
    <r>
      <rPr>
        <b/>
        <sz val="14"/>
        <color rgb="FFFF0000"/>
        <rFont val="Aptos Narrow"/>
        <family val="2"/>
        <scheme val="minor"/>
      </rPr>
      <t>or</t>
    </r>
    <r>
      <rPr>
        <b/>
        <sz val="14"/>
        <color theme="1"/>
        <rFont val="Aptos Narrow"/>
        <family val="2"/>
        <scheme val="minor"/>
      </rPr>
      <t xml:space="preserve"> under 25 years old, write yes, and if otherwise, write no.</t>
    </r>
  </si>
  <si>
    <r>
      <t xml:space="preserve">Q1:If an individual is both male (M) </t>
    </r>
    <r>
      <rPr>
        <b/>
        <sz val="14"/>
        <color rgb="FFFF0000"/>
        <rFont val="Aptos Narrow"/>
        <family val="2"/>
        <scheme val="minor"/>
      </rPr>
      <t>and</t>
    </r>
    <r>
      <rPr>
        <b/>
        <sz val="14"/>
        <color theme="1"/>
        <rFont val="Aptos Narrow"/>
        <family val="2"/>
        <scheme val="minor"/>
      </rPr>
      <t xml:space="preserve"> above 34 years old, write yes, and if otherwise, write no.</t>
    </r>
  </si>
  <si>
    <t xml:space="preserve">        (456) 789-1230         </t>
  </si>
  <si>
    <t>عدد كلمات الإسم</t>
  </si>
  <si>
    <t>Name</t>
  </si>
  <si>
    <t>Menna Abd El-Nasser  Ramadan El-Nagar</t>
  </si>
  <si>
    <t>Phone Number</t>
  </si>
  <si>
    <t>E-Mail</t>
  </si>
  <si>
    <t>eng.menna180@gmail.com</t>
  </si>
  <si>
    <t>trim</t>
  </si>
  <si>
    <t xml:space="preserve">(123) 456        -7890 </t>
  </si>
  <si>
    <t>01067887468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</si>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</sst>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6" formatCode="_-* #,##0.00_-;\-* #,##0.00_-;_-* &quot;-&quot;??_-;_-@_-"/>
    <numFmt numFmtId="167" formatCode="_-&quot;$&quot;* #,##0.00_-;\-&quot;$&quot;* #,##0.00_-;_-&quot;$&quot;* &quot;-&quot;??_-;_-@_-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i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7">
    <xf numFmtId="0" fontId="0" fillId="0" borderId="0"/>
    <xf numFmtId="0" fontId="11" fillId="0" borderId="0" applyNumberFormat="0" applyFill="0" applyBorder="0" applyAlignment="0" applyProtection="0"/>
    <xf numFmtId="0" fontId="14" fillId="0" borderId="0"/>
    <xf numFmtId="0" fontId="12" fillId="0" borderId="0"/>
    <xf numFmtId="166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0" borderId="3" xfId="0" applyBorder="1"/>
    <xf numFmtId="0" fontId="4" fillId="8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6" fillId="0" borderId="4" xfId="0" applyFont="1" applyBorder="1" applyAlignment="1">
      <alignment horizontal="center" readingOrder="2"/>
    </xf>
    <xf numFmtId="0" fontId="7" fillId="0" borderId="4" xfId="0" applyFont="1" applyBorder="1" applyAlignment="1">
      <alignment horizontal="center" readingOrder="1"/>
    </xf>
    <xf numFmtId="0" fontId="2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readingOrder="2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center" vertical="center"/>
    </xf>
    <xf numFmtId="0" fontId="11" fillId="3" borderId="1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0" fontId="0" fillId="9" borderId="1" xfId="0" applyFill="1" applyBorder="1"/>
  </cellXfs>
  <cellStyles count="7">
    <cellStyle name="Comma 2" xfId="6" xr:uid="{13CD474F-C0D9-4AA4-89CD-0D4EA09351D4}"/>
    <cellStyle name="Comma 4" xfId="4" xr:uid="{03D18C30-64CF-4EBB-8CA1-79E77F3176E8}"/>
    <cellStyle name="Currency 3 2" xfId="5" xr:uid="{BAB9643F-D130-4E97-91B9-E8D6DA2A8133}"/>
    <cellStyle name="Hyperlink" xfId="1" builtinId="8"/>
    <cellStyle name="Normal" xfId="0" builtinId="0"/>
    <cellStyle name="Normal 2" xfId="2" xr:uid="{F0BC9FA3-526F-48CD-B280-0AA3739469CF}"/>
    <cellStyle name="Normal 6" xfId="3" xr:uid="{30D7EDC5-4DDC-4652-AE74-94048FEF84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ng.menna180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olivia@example.com" TargetMode="External"/><Relationship Id="rId1" Type="http://schemas.openxmlformats.org/officeDocument/2006/relationships/hyperlink" Target="mailto:emily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3005-2D1B-405B-81EF-53C26A911178}">
  <sheetPr>
    <tabColor theme="6" tint="-0.249977111117893"/>
  </sheetPr>
  <dimension ref="E1:K5"/>
  <sheetViews>
    <sheetView showGridLines="0" tabSelected="1" topLeftCell="E1" workbookViewId="0">
      <selection activeCell="G4" sqref="G4:K4"/>
    </sheetView>
  </sheetViews>
  <sheetFormatPr defaultRowHeight="14.5" x14ac:dyDescent="0.35"/>
  <cols>
    <col min="5" max="5" width="24.90625" customWidth="1"/>
    <col min="6" max="6" width="2" customWidth="1"/>
    <col min="7" max="7" width="11.36328125" customWidth="1"/>
    <col min="11" max="11" width="31.08984375" customWidth="1"/>
  </cols>
  <sheetData>
    <row r="1" spans="5:11" ht="25" customHeight="1" x14ac:dyDescent="0.35"/>
    <row r="2" spans="5:11" ht="40" customHeight="1" x14ac:dyDescent="0.35"/>
    <row r="3" spans="5:11" ht="28.5" customHeight="1" x14ac:dyDescent="0.35">
      <c r="E3" s="29" t="s">
        <v>189</v>
      </c>
      <c r="F3" s="28"/>
      <c r="G3" s="25" t="s">
        <v>190</v>
      </c>
      <c r="H3" s="25"/>
      <c r="I3" s="25"/>
      <c r="J3" s="25"/>
      <c r="K3" s="25"/>
    </row>
    <row r="4" spans="5:11" ht="33.5" customHeight="1" x14ac:dyDescent="0.35">
      <c r="E4" s="29" t="s">
        <v>191</v>
      </c>
      <c r="F4" s="28"/>
      <c r="G4" s="36" t="s">
        <v>196</v>
      </c>
      <c r="H4" s="36"/>
      <c r="I4" s="36"/>
      <c r="J4" s="36"/>
      <c r="K4" s="36"/>
    </row>
    <row r="5" spans="5:11" ht="48.5" customHeight="1" x14ac:dyDescent="0.35">
      <c r="E5" s="29" t="s">
        <v>192</v>
      </c>
      <c r="F5" s="28"/>
      <c r="G5" s="26" t="s">
        <v>193</v>
      </c>
      <c r="H5" s="25"/>
      <c r="I5" s="25"/>
      <c r="J5" s="25"/>
      <c r="K5" s="25"/>
    </row>
  </sheetData>
  <mergeCells count="3">
    <mergeCell ref="G3:K3"/>
    <mergeCell ref="G4:K4"/>
    <mergeCell ref="G5:K5"/>
  </mergeCells>
  <hyperlinks>
    <hyperlink ref="G5" r:id="rId1" xr:uid="{9E6C492D-D099-40C0-B69D-BF1D274F5D99}"/>
  </hyperlinks>
  <pageMargins left="0.7" right="0.7" top="0.75" bottom="0.75" header="0.3" footer="0.3"/>
  <ignoredErrors>
    <ignoredError sqref="G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C113-3499-4914-B797-C99BDEB3FCF0}">
  <sheetPr>
    <tabColor rgb="FFC00000"/>
  </sheetPr>
  <dimension ref="A1:G26"/>
  <sheetViews>
    <sheetView showGridLines="0" topLeftCell="J1" zoomScale="62" workbookViewId="0">
      <selection activeCell="G19" sqref="G19"/>
    </sheetView>
  </sheetViews>
  <sheetFormatPr defaultRowHeight="14.5" x14ac:dyDescent="0.35"/>
  <cols>
    <col min="1" max="1" width="18.453125" customWidth="1"/>
    <col min="2" max="2" width="12.81640625" customWidth="1"/>
    <col min="3" max="3" width="13.08984375" customWidth="1"/>
    <col min="4" max="5" width="15.81640625" customWidth="1"/>
    <col min="7" max="7" width="111.453125" customWidth="1"/>
  </cols>
  <sheetData>
    <row r="1" spans="1:7" x14ac:dyDescent="0.35">
      <c r="A1" s="1" t="s">
        <v>0</v>
      </c>
      <c r="B1" s="1" t="s">
        <v>2</v>
      </c>
      <c r="C1" s="1" t="s">
        <v>1</v>
      </c>
      <c r="D1" s="1" t="s">
        <v>6</v>
      </c>
      <c r="E1" s="1" t="s">
        <v>5</v>
      </c>
    </row>
    <row r="2" spans="1:7" x14ac:dyDescent="0.35">
      <c r="A2" s="2">
        <v>1</v>
      </c>
      <c r="B2" s="2" t="s">
        <v>3</v>
      </c>
      <c r="C2" s="2">
        <v>27</v>
      </c>
      <c r="D2" s="2" t="str">
        <f>IF(AND(B2="M",C2&gt;=34),"YES","NO")</f>
        <v>NO</v>
      </c>
      <c r="E2" s="2" t="str">
        <f>IF(OR(B2="F",C2&lt;=25),"YES","NO")</f>
        <v>NO</v>
      </c>
    </row>
    <row r="3" spans="1:7" ht="18.5" x14ac:dyDescent="0.45">
      <c r="A3" s="2">
        <v>2</v>
      </c>
      <c r="B3" s="2" t="s">
        <v>4</v>
      </c>
      <c r="C3" s="2">
        <v>32</v>
      </c>
      <c r="D3" s="2" t="str">
        <f t="shared" ref="D3:D25" si="0">IF(AND(B3="M",C3&gt;=34),"YES","NO")</f>
        <v>NO</v>
      </c>
      <c r="E3" s="2" t="str">
        <f t="shared" ref="E3:E25" si="1">IF(OR(B3="F",C3&lt;=25),"YES","NO")</f>
        <v>YES</v>
      </c>
      <c r="G3" s="5" t="s">
        <v>186</v>
      </c>
    </row>
    <row r="4" spans="1:7" ht="18.5" x14ac:dyDescent="0.45">
      <c r="A4" s="2">
        <v>3</v>
      </c>
      <c r="B4" s="2" t="s">
        <v>3</v>
      </c>
      <c r="C4" s="2">
        <v>35</v>
      </c>
      <c r="D4" s="2" t="str">
        <f t="shared" si="0"/>
        <v>YES</v>
      </c>
      <c r="E4" s="2" t="str">
        <f t="shared" si="1"/>
        <v>NO</v>
      </c>
      <c r="G4" s="5" t="s">
        <v>185</v>
      </c>
    </row>
    <row r="5" spans="1:7" x14ac:dyDescent="0.35">
      <c r="A5" s="2">
        <v>4</v>
      </c>
      <c r="B5" s="2" t="s">
        <v>4</v>
      </c>
      <c r="C5" s="2">
        <v>34</v>
      </c>
      <c r="D5" s="2" t="str">
        <f t="shared" si="0"/>
        <v>NO</v>
      </c>
      <c r="E5" s="2" t="str">
        <f t="shared" si="1"/>
        <v>YES</v>
      </c>
    </row>
    <row r="6" spans="1:7" x14ac:dyDescent="0.35">
      <c r="A6" s="2">
        <v>5</v>
      </c>
      <c r="B6" s="2" t="s">
        <v>3</v>
      </c>
      <c r="C6" s="2">
        <v>27</v>
      </c>
      <c r="D6" s="2" t="str">
        <f t="shared" si="0"/>
        <v>NO</v>
      </c>
      <c r="E6" s="2" t="str">
        <f t="shared" si="1"/>
        <v>NO</v>
      </c>
    </row>
    <row r="7" spans="1:7" x14ac:dyDescent="0.35">
      <c r="A7" s="2">
        <v>6</v>
      </c>
      <c r="B7" s="2" t="s">
        <v>4</v>
      </c>
      <c r="C7" s="2">
        <v>28</v>
      </c>
      <c r="D7" s="2" t="str">
        <f t="shared" si="0"/>
        <v>NO</v>
      </c>
      <c r="E7" s="2" t="str">
        <f t="shared" si="1"/>
        <v>YES</v>
      </c>
    </row>
    <row r="8" spans="1:7" x14ac:dyDescent="0.35">
      <c r="A8" s="2">
        <v>7</v>
      </c>
      <c r="B8" s="2" t="s">
        <v>3</v>
      </c>
      <c r="C8" s="2">
        <v>24</v>
      </c>
      <c r="D8" s="2" t="str">
        <f t="shared" si="0"/>
        <v>NO</v>
      </c>
      <c r="E8" s="2" t="str">
        <f t="shared" si="1"/>
        <v>YES</v>
      </c>
    </row>
    <row r="9" spans="1:7" x14ac:dyDescent="0.35">
      <c r="A9" s="2">
        <v>8</v>
      </c>
      <c r="B9" s="2" t="s">
        <v>4</v>
      </c>
      <c r="C9" s="2">
        <v>32</v>
      </c>
      <c r="D9" s="2" t="str">
        <f t="shared" si="0"/>
        <v>NO</v>
      </c>
      <c r="E9" s="2" t="str">
        <f t="shared" si="1"/>
        <v>YES</v>
      </c>
    </row>
    <row r="10" spans="1:7" ht="15" customHeight="1" x14ac:dyDescent="0.55000000000000004">
      <c r="A10" s="2">
        <v>9</v>
      </c>
      <c r="B10" s="2" t="s">
        <v>3</v>
      </c>
      <c r="C10" s="2">
        <v>26</v>
      </c>
      <c r="D10" s="2" t="str">
        <f t="shared" si="0"/>
        <v>NO</v>
      </c>
      <c r="E10" s="2" t="str">
        <f t="shared" si="1"/>
        <v>NO</v>
      </c>
      <c r="G10" s="19"/>
    </row>
    <row r="11" spans="1:7" x14ac:dyDescent="0.35">
      <c r="A11" s="2">
        <v>10</v>
      </c>
      <c r="B11" s="2" t="s">
        <v>4</v>
      </c>
      <c r="C11" s="2">
        <v>31</v>
      </c>
      <c r="D11" s="2" t="str">
        <f t="shared" si="0"/>
        <v>NO</v>
      </c>
      <c r="E11" s="2" t="str">
        <f t="shared" si="1"/>
        <v>YES</v>
      </c>
    </row>
    <row r="12" spans="1:7" x14ac:dyDescent="0.35">
      <c r="A12" s="2">
        <v>11</v>
      </c>
      <c r="B12" s="2" t="s">
        <v>3</v>
      </c>
      <c r="C12" s="2">
        <v>37</v>
      </c>
      <c r="D12" s="2" t="str">
        <f t="shared" si="0"/>
        <v>YES</v>
      </c>
      <c r="E12" s="2" t="str">
        <f t="shared" si="1"/>
        <v>NO</v>
      </c>
    </row>
    <row r="13" spans="1:7" x14ac:dyDescent="0.35">
      <c r="A13" s="2">
        <v>12</v>
      </c>
      <c r="B13" s="2" t="s">
        <v>4</v>
      </c>
      <c r="C13" s="2">
        <v>24</v>
      </c>
      <c r="D13" s="2" t="str">
        <f t="shared" si="0"/>
        <v>NO</v>
      </c>
      <c r="E13" s="2" t="str">
        <f t="shared" si="1"/>
        <v>YES</v>
      </c>
    </row>
    <row r="14" spans="1:7" x14ac:dyDescent="0.35">
      <c r="A14" s="2">
        <v>13</v>
      </c>
      <c r="B14" s="2" t="s">
        <v>3</v>
      </c>
      <c r="C14" s="2">
        <v>23</v>
      </c>
      <c r="D14" s="2" t="str">
        <f t="shared" si="0"/>
        <v>NO</v>
      </c>
      <c r="E14" s="2" t="str">
        <f t="shared" si="1"/>
        <v>YES</v>
      </c>
    </row>
    <row r="15" spans="1:7" x14ac:dyDescent="0.35">
      <c r="A15" s="2">
        <v>14</v>
      </c>
      <c r="B15" s="2" t="s">
        <v>4</v>
      </c>
      <c r="C15" s="2">
        <v>37</v>
      </c>
      <c r="D15" s="2" t="str">
        <f t="shared" si="0"/>
        <v>NO</v>
      </c>
      <c r="E15" s="2" t="str">
        <f t="shared" si="1"/>
        <v>YES</v>
      </c>
    </row>
    <row r="16" spans="1:7" x14ac:dyDescent="0.35">
      <c r="A16" s="2">
        <v>15</v>
      </c>
      <c r="B16" s="2" t="s">
        <v>3</v>
      </c>
      <c r="C16" s="2">
        <v>27</v>
      </c>
      <c r="D16" s="2" t="str">
        <f t="shared" si="0"/>
        <v>NO</v>
      </c>
      <c r="E16" s="2" t="str">
        <f t="shared" si="1"/>
        <v>NO</v>
      </c>
    </row>
    <row r="17" spans="1:5" x14ac:dyDescent="0.35">
      <c r="A17" s="2">
        <v>16</v>
      </c>
      <c r="B17" s="2" t="s">
        <v>4</v>
      </c>
      <c r="C17" s="2">
        <v>30</v>
      </c>
      <c r="D17" s="2" t="str">
        <f t="shared" si="0"/>
        <v>NO</v>
      </c>
      <c r="E17" s="2" t="str">
        <f t="shared" si="1"/>
        <v>YES</v>
      </c>
    </row>
    <row r="18" spans="1:5" x14ac:dyDescent="0.35">
      <c r="A18" s="2">
        <v>17</v>
      </c>
      <c r="B18" s="2" t="s">
        <v>3</v>
      </c>
      <c r="C18" s="2">
        <v>27</v>
      </c>
      <c r="D18" s="2" t="str">
        <f t="shared" si="0"/>
        <v>NO</v>
      </c>
      <c r="E18" s="2" t="str">
        <f t="shared" si="1"/>
        <v>NO</v>
      </c>
    </row>
    <row r="19" spans="1:5" x14ac:dyDescent="0.35">
      <c r="A19" s="2">
        <v>18</v>
      </c>
      <c r="B19" s="2" t="s">
        <v>4</v>
      </c>
      <c r="C19" s="2">
        <v>28</v>
      </c>
      <c r="D19" s="2" t="str">
        <f t="shared" si="0"/>
        <v>NO</v>
      </c>
      <c r="E19" s="2" t="str">
        <f t="shared" si="1"/>
        <v>YES</v>
      </c>
    </row>
    <row r="20" spans="1:5" x14ac:dyDescent="0.35">
      <c r="A20" s="2">
        <v>19</v>
      </c>
      <c r="B20" s="2" t="s">
        <v>3</v>
      </c>
      <c r="C20" s="2">
        <v>20</v>
      </c>
      <c r="D20" s="2" t="str">
        <f t="shared" si="0"/>
        <v>NO</v>
      </c>
      <c r="E20" s="2" t="str">
        <f t="shared" si="1"/>
        <v>YES</v>
      </c>
    </row>
    <row r="21" spans="1:5" x14ac:dyDescent="0.35">
      <c r="A21" s="2">
        <v>20</v>
      </c>
      <c r="B21" s="2" t="s">
        <v>4</v>
      </c>
      <c r="C21" s="2">
        <v>34</v>
      </c>
      <c r="D21" s="2" t="str">
        <f t="shared" si="0"/>
        <v>NO</v>
      </c>
      <c r="E21" s="2" t="str">
        <f t="shared" si="1"/>
        <v>YES</v>
      </c>
    </row>
    <row r="22" spans="1:5" x14ac:dyDescent="0.35">
      <c r="A22" s="2">
        <v>21</v>
      </c>
      <c r="B22" s="2" t="s">
        <v>3</v>
      </c>
      <c r="C22" s="2">
        <v>41</v>
      </c>
      <c r="D22" s="2" t="str">
        <f t="shared" si="0"/>
        <v>YES</v>
      </c>
      <c r="E22" s="2" t="str">
        <f t="shared" si="1"/>
        <v>NO</v>
      </c>
    </row>
    <row r="23" spans="1:5" x14ac:dyDescent="0.35">
      <c r="A23" s="2">
        <v>22</v>
      </c>
      <c r="B23" s="2" t="s">
        <v>3</v>
      </c>
      <c r="C23" s="2">
        <v>47</v>
      </c>
      <c r="D23" s="2" t="str">
        <f t="shared" si="0"/>
        <v>YES</v>
      </c>
      <c r="E23" s="2" t="str">
        <f>IF(OR(B23="F",C23&lt;=25),"YES","NO")</f>
        <v>NO</v>
      </c>
    </row>
    <row r="24" spans="1:5" x14ac:dyDescent="0.35">
      <c r="A24" s="2">
        <v>23</v>
      </c>
      <c r="B24" s="2" t="s">
        <v>4</v>
      </c>
      <c r="C24" s="2">
        <v>36</v>
      </c>
      <c r="D24" s="2" t="str">
        <f t="shared" si="0"/>
        <v>NO</v>
      </c>
      <c r="E24" s="2" t="str">
        <f t="shared" si="1"/>
        <v>YES</v>
      </c>
    </row>
    <row r="25" spans="1:5" x14ac:dyDescent="0.35">
      <c r="A25" s="2">
        <v>24</v>
      </c>
      <c r="B25" s="2" t="s">
        <v>3</v>
      </c>
      <c r="C25" s="2">
        <v>28</v>
      </c>
      <c r="D25" s="2" t="str">
        <f t="shared" si="0"/>
        <v>NO</v>
      </c>
      <c r="E25" s="2" t="str">
        <f t="shared" si="1"/>
        <v>NO</v>
      </c>
    </row>
    <row r="26" spans="1:5" x14ac:dyDescent="0.35">
      <c r="A26" s="4"/>
      <c r="B26" s="4"/>
      <c r="C26" s="4"/>
    </row>
  </sheetData>
  <autoFilter ref="A1:E25" xr:uid="{1241C113-3499-4914-B797-C99BDEB3FCF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6DC9-751E-4A15-BAC4-0313CEF787BE}">
  <sheetPr>
    <tabColor rgb="FF92D050"/>
  </sheetPr>
  <dimension ref="A1:H11"/>
  <sheetViews>
    <sheetView showGridLines="0" workbookViewId="0">
      <selection activeCell="H13" sqref="H13"/>
    </sheetView>
  </sheetViews>
  <sheetFormatPr defaultRowHeight="14.5" x14ac:dyDescent="0.35"/>
  <cols>
    <col min="1" max="1" width="16" bestFit="1" customWidth="1"/>
    <col min="2" max="2" width="12.453125" bestFit="1" customWidth="1"/>
    <col min="3" max="3" width="18.81640625" style="31" customWidth="1"/>
    <col min="4" max="4" width="16.54296875" style="31" customWidth="1"/>
    <col min="5" max="5" width="8.90625" hidden="1" customWidth="1"/>
    <col min="6" max="6" width="6.453125" hidden="1" customWidth="1"/>
    <col min="7" max="7" width="8.90625" hidden="1" customWidth="1"/>
    <col min="8" max="8" width="145.1796875" bestFit="1" customWidth="1"/>
  </cols>
  <sheetData>
    <row r="1" spans="1:8" x14ac:dyDescent="0.35">
      <c r="A1" s="6" t="s">
        <v>7</v>
      </c>
      <c r="B1" s="6" t="s">
        <v>8</v>
      </c>
      <c r="C1" s="32" t="s">
        <v>9</v>
      </c>
      <c r="D1" s="30" t="s">
        <v>9</v>
      </c>
    </row>
    <row r="2" spans="1:8" x14ac:dyDescent="0.35">
      <c r="A2" s="2" t="s">
        <v>10</v>
      </c>
      <c r="B2" s="2">
        <v>9500</v>
      </c>
      <c r="C2" s="27">
        <f>IF(B2&gt;10000,B2*10%,0)</f>
        <v>0</v>
      </c>
      <c r="D2" s="27" t="str">
        <f>IF(B2&gt;10000,"10%","0%")</f>
        <v>0%</v>
      </c>
    </row>
    <row r="3" spans="1:8" ht="18.5" x14ac:dyDescent="0.45">
      <c r="A3" s="2" t="s">
        <v>11</v>
      </c>
      <c r="B3" s="2">
        <v>12000</v>
      </c>
      <c r="C3" s="27">
        <f t="shared" ref="C3:C11" si="0">IF(B3&gt;10000,B3*10%,0)</f>
        <v>1200</v>
      </c>
      <c r="D3" s="27" t="str">
        <f t="shared" ref="D3:D11" si="1">IF(B3&gt;10000,"10%","0%")</f>
        <v>10%</v>
      </c>
      <c r="H3" s="7" t="s">
        <v>20</v>
      </c>
    </row>
    <row r="4" spans="1:8" x14ac:dyDescent="0.35">
      <c r="A4" s="2" t="s">
        <v>12</v>
      </c>
      <c r="B4" s="2">
        <v>8000</v>
      </c>
      <c r="C4" s="27">
        <f t="shared" si="0"/>
        <v>0</v>
      </c>
      <c r="D4" s="27" t="str">
        <f t="shared" si="1"/>
        <v>0%</v>
      </c>
    </row>
    <row r="5" spans="1:8" x14ac:dyDescent="0.35">
      <c r="A5" s="2" t="s">
        <v>13</v>
      </c>
      <c r="B5" s="2">
        <v>10500</v>
      </c>
      <c r="C5" s="27">
        <f t="shared" si="0"/>
        <v>1050</v>
      </c>
      <c r="D5" s="27" t="str">
        <f t="shared" si="1"/>
        <v>10%</v>
      </c>
    </row>
    <row r="6" spans="1:8" x14ac:dyDescent="0.35">
      <c r="A6" s="2" t="s">
        <v>14</v>
      </c>
      <c r="B6" s="2">
        <v>9200</v>
      </c>
      <c r="C6" s="27">
        <f t="shared" si="0"/>
        <v>0</v>
      </c>
      <c r="D6" s="27" t="str">
        <f t="shared" si="1"/>
        <v>0%</v>
      </c>
    </row>
    <row r="7" spans="1:8" x14ac:dyDescent="0.35">
      <c r="A7" s="2" t="s">
        <v>15</v>
      </c>
      <c r="B7" s="2">
        <v>11000</v>
      </c>
      <c r="C7" s="27">
        <f t="shared" si="0"/>
        <v>1100</v>
      </c>
      <c r="D7" s="27" t="str">
        <f t="shared" si="1"/>
        <v>10%</v>
      </c>
    </row>
    <row r="8" spans="1:8" x14ac:dyDescent="0.35">
      <c r="A8" s="2" t="s">
        <v>16</v>
      </c>
      <c r="B8" s="2">
        <v>5000</v>
      </c>
      <c r="C8" s="27">
        <f t="shared" si="0"/>
        <v>0</v>
      </c>
      <c r="D8" s="27" t="str">
        <f t="shared" si="1"/>
        <v>0%</v>
      </c>
    </row>
    <row r="9" spans="1:8" x14ac:dyDescent="0.35">
      <c r="A9" s="2" t="s">
        <v>17</v>
      </c>
      <c r="B9" s="2">
        <v>13000</v>
      </c>
      <c r="C9" s="27">
        <f t="shared" si="0"/>
        <v>1300</v>
      </c>
      <c r="D9" s="27" t="str">
        <f t="shared" si="1"/>
        <v>10%</v>
      </c>
    </row>
    <row r="10" spans="1:8" x14ac:dyDescent="0.35">
      <c r="A10" s="2" t="s">
        <v>18</v>
      </c>
      <c r="B10" s="2">
        <v>12500</v>
      </c>
      <c r="C10" s="27">
        <f t="shared" si="0"/>
        <v>1250</v>
      </c>
      <c r="D10" s="27" t="str">
        <f t="shared" si="1"/>
        <v>10%</v>
      </c>
    </row>
    <row r="11" spans="1:8" x14ac:dyDescent="0.35">
      <c r="A11" s="2" t="s">
        <v>19</v>
      </c>
      <c r="B11" s="2">
        <v>10000</v>
      </c>
      <c r="C11" s="27">
        <f t="shared" si="0"/>
        <v>0</v>
      </c>
      <c r="D11" s="27" t="str">
        <f t="shared" si="1"/>
        <v>0%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74F5-BDCF-4105-BB15-B9838A96666D}">
  <sheetPr>
    <tabColor theme="5" tint="-0.249977111117893"/>
  </sheetPr>
  <dimension ref="A1:U30"/>
  <sheetViews>
    <sheetView showGridLines="0" zoomScale="45" workbookViewId="0">
      <selection activeCell="F43" sqref="F43"/>
    </sheetView>
  </sheetViews>
  <sheetFormatPr defaultRowHeight="14.5" x14ac:dyDescent="0.35"/>
  <cols>
    <col min="1" max="1" width="16.453125" customWidth="1"/>
    <col min="2" max="2" width="24.6328125" customWidth="1"/>
    <col min="3" max="3" width="17.54296875" customWidth="1"/>
    <col min="4" max="4" width="18.08984375" style="31" customWidth="1"/>
    <col min="5" max="5" width="10.1796875" customWidth="1"/>
    <col min="6" max="6" width="15.90625" customWidth="1"/>
    <col min="7" max="7" width="14.1796875" bestFit="1" customWidth="1"/>
    <col min="9" max="9" width="30.08984375" bestFit="1" customWidth="1"/>
    <col min="11" max="11" width="23.6328125" customWidth="1"/>
    <col min="14" max="14" width="26.54296875" bestFit="1" customWidth="1"/>
    <col min="15" max="15" width="22.54296875" bestFit="1" customWidth="1"/>
    <col min="16" max="16" width="26.54296875" customWidth="1"/>
    <col min="17" max="17" width="11.7265625" customWidth="1"/>
    <col min="18" max="18" width="20.26953125" bestFit="1" customWidth="1"/>
    <col min="19" max="19" width="20.453125" bestFit="1" customWidth="1"/>
    <col min="20" max="20" width="19.08984375" bestFit="1" customWidth="1"/>
    <col min="21" max="21" width="17.453125" bestFit="1" customWidth="1"/>
  </cols>
  <sheetData>
    <row r="1" spans="1:21" x14ac:dyDescent="0.35">
      <c r="A1" s="9" t="s">
        <v>21</v>
      </c>
      <c r="B1" s="9" t="s">
        <v>22</v>
      </c>
      <c r="C1" s="9" t="s">
        <v>23</v>
      </c>
      <c r="D1" s="33" t="s">
        <v>194</v>
      </c>
      <c r="F1" s="8" t="s">
        <v>62</v>
      </c>
      <c r="G1" s="8" t="s">
        <v>63</v>
      </c>
      <c r="I1" s="8" t="s">
        <v>64</v>
      </c>
      <c r="K1" s="8" t="s">
        <v>65</v>
      </c>
      <c r="N1" s="11" t="s">
        <v>89</v>
      </c>
      <c r="O1" s="11" t="s">
        <v>90</v>
      </c>
      <c r="P1" s="11" t="s">
        <v>91</v>
      </c>
      <c r="R1" s="13" t="s">
        <v>92</v>
      </c>
      <c r="S1" s="10" t="s">
        <v>93</v>
      </c>
      <c r="T1" s="13" t="s">
        <v>94</v>
      </c>
      <c r="U1" s="13" t="s">
        <v>95</v>
      </c>
    </row>
    <row r="2" spans="1:21" x14ac:dyDescent="0.35">
      <c r="A2" s="2" t="s">
        <v>24</v>
      </c>
      <c r="B2" s="2" t="s">
        <v>68</v>
      </c>
      <c r="C2" s="2" t="s">
        <v>195</v>
      </c>
      <c r="D2" s="27" t="str">
        <f>TRIM(C2)</f>
        <v>(123) 456 -7890</v>
      </c>
      <c r="F2" s="3" t="str">
        <f>_xlfn.TEXTBEFORE(D2," ")</f>
        <v>(123)</v>
      </c>
      <c r="G2" s="3" t="str">
        <f>_xlfn.TEXTAFTER(D2," ")</f>
        <v>456 -7890</v>
      </c>
      <c r="I2" s="3" t="str">
        <f>A2&amp;" - "&amp;D2</f>
        <v>John Doe - (123) 456 -7890</v>
      </c>
      <c r="K2" s="3" t="str">
        <f>SUBSTITUTE(B2,"gmail.com","outlook.com")</f>
        <v xml:space="preserve">  john@outlook.com      </v>
      </c>
      <c r="N2" s="12" t="str">
        <f>UPPER(B2)</f>
        <v xml:space="preserve">  JOHN@GMAIL.COM      </v>
      </c>
      <c r="O2" s="12" t="str">
        <f>LOWER(B2)</f>
        <v xml:space="preserve">  john@gmail.com      </v>
      </c>
      <c r="P2" s="12" t="str">
        <f>PROPER(B2)</f>
        <v xml:space="preserve">  John@Gmail.Com      </v>
      </c>
      <c r="R2" s="12" t="str">
        <f>TRIM(B2)</f>
        <v>john@gmail.com</v>
      </c>
      <c r="S2" s="12" t="str">
        <f>RIGHT(R2,4)</f>
        <v>.com</v>
      </c>
      <c r="T2" s="12" t="str">
        <f>LEFT(R2,4)</f>
        <v>john</v>
      </c>
      <c r="U2" s="12" t="str">
        <f>MID(R2,5,6)</f>
        <v>@gmail</v>
      </c>
    </row>
    <row r="3" spans="1:21" x14ac:dyDescent="0.35">
      <c r="A3" s="2" t="s">
        <v>25</v>
      </c>
      <c r="B3" s="2" t="s">
        <v>69</v>
      </c>
      <c r="C3" s="2" t="s">
        <v>187</v>
      </c>
      <c r="D3" s="27" t="str">
        <f t="shared" ref="D3:D21" si="0">TRIM(C3)</f>
        <v>(456) 789-1230</v>
      </c>
      <c r="F3" s="3" t="str">
        <f t="shared" ref="F3:F21" si="1">_xlfn.TEXTBEFORE(D3," ")</f>
        <v>(456)</v>
      </c>
      <c r="G3" s="3" t="str">
        <f t="shared" ref="G3:G21" si="2">_xlfn.TEXTAFTER(D3," ")</f>
        <v>789-1230</v>
      </c>
      <c r="I3" s="3" t="str">
        <f t="shared" ref="I3:I21" si="3">A3&amp;" - "&amp;D3</f>
        <v>Jane Smith - (456) 789-1230</v>
      </c>
      <c r="K3" s="3" t="str">
        <f t="shared" ref="K3:K21" si="4">SUBSTITUTE(B3,"gmail.com","outlook.com")</f>
        <v xml:space="preserve">  jane@outlook.com    </v>
      </c>
      <c r="N3" s="12" t="str">
        <f t="shared" ref="N3:N21" si="5">UPPER(B3)</f>
        <v xml:space="preserve">  JANE@GMAIL.COM    </v>
      </c>
      <c r="O3" s="12" t="str">
        <f t="shared" ref="O3:O21" si="6">LOWER(B3)</f>
        <v xml:space="preserve">  jane@gmail.com    </v>
      </c>
      <c r="P3" s="12" t="str">
        <f t="shared" ref="P3:P21" si="7">PROPER(B3)</f>
        <v xml:space="preserve">  Jane@Gmail.Com    </v>
      </c>
      <c r="R3" s="12" t="str">
        <f t="shared" ref="R3:R21" si="8">TRIM(B3)</f>
        <v>jane@gmail.com</v>
      </c>
      <c r="S3" s="12" t="str">
        <f t="shared" ref="S3:S21" si="9">RIGHT(R3,4)</f>
        <v>.com</v>
      </c>
      <c r="T3" s="12" t="str">
        <f t="shared" ref="T3:T21" si="10">LEFT(R3,4)</f>
        <v>jane</v>
      </c>
      <c r="U3" s="12" t="str">
        <f t="shared" ref="U3:U21" si="11">MID(R3,5,6)</f>
        <v>@gmail</v>
      </c>
    </row>
    <row r="4" spans="1:21" x14ac:dyDescent="0.35">
      <c r="A4" s="2" t="s">
        <v>26</v>
      </c>
      <c r="B4" s="2" t="s">
        <v>70</v>
      </c>
      <c r="C4" s="2" t="s">
        <v>27</v>
      </c>
      <c r="D4" s="27" t="str">
        <f t="shared" si="0"/>
        <v>(789) 123-4560</v>
      </c>
      <c r="F4" s="3" t="str">
        <f t="shared" si="1"/>
        <v>(789)</v>
      </c>
      <c r="G4" s="3" t="str">
        <f t="shared" si="2"/>
        <v>123-4560</v>
      </c>
      <c r="I4" s="3" t="str">
        <f t="shared" si="3"/>
        <v>Alice Lee - (789) 123-4560</v>
      </c>
      <c r="K4" s="3" t="str">
        <f t="shared" si="4"/>
        <v xml:space="preserve">  alice@outlook.com     </v>
      </c>
      <c r="N4" s="12" t="str">
        <f t="shared" si="5"/>
        <v xml:space="preserve">  ALICE@GMAIL.COM     </v>
      </c>
      <c r="O4" s="12" t="str">
        <f t="shared" si="6"/>
        <v xml:space="preserve">  alice@gmail.com     </v>
      </c>
      <c r="P4" s="12" t="str">
        <f t="shared" si="7"/>
        <v xml:space="preserve">  Alice@Gmail.Com     </v>
      </c>
      <c r="R4" s="12" t="str">
        <f t="shared" si="8"/>
        <v>alice@gmail.com</v>
      </c>
      <c r="S4" s="12" t="str">
        <f t="shared" si="9"/>
        <v>.com</v>
      </c>
      <c r="T4" s="12" t="str">
        <f t="shared" si="10"/>
        <v>alic</v>
      </c>
      <c r="U4" s="12" t="str">
        <f t="shared" si="11"/>
        <v>e@gmai</v>
      </c>
    </row>
    <row r="5" spans="1:21" x14ac:dyDescent="0.35">
      <c r="A5" s="2" t="s">
        <v>28</v>
      </c>
      <c r="B5" s="2" t="s">
        <v>71</v>
      </c>
      <c r="C5" s="2" t="s">
        <v>29</v>
      </c>
      <c r="D5" s="27" t="str">
        <f t="shared" si="0"/>
        <v>(234) 567-8901</v>
      </c>
      <c r="F5" s="3" t="str">
        <f t="shared" si="1"/>
        <v>(234)</v>
      </c>
      <c r="G5" s="3" t="str">
        <f t="shared" si="2"/>
        <v>567-8901</v>
      </c>
      <c r="I5" s="3" t="str">
        <f t="shared" si="3"/>
        <v>Bob Brown - (234) 567-8901</v>
      </c>
      <c r="K5" s="3" t="str">
        <f t="shared" si="4"/>
        <v xml:space="preserve">  bob@outlook.com       </v>
      </c>
      <c r="N5" s="12" t="str">
        <f t="shared" si="5"/>
        <v xml:space="preserve">  BOB@GMAIL.COM       </v>
      </c>
      <c r="O5" s="12" t="str">
        <f t="shared" si="6"/>
        <v xml:space="preserve">  bob@gmail.com       </v>
      </c>
      <c r="P5" s="12" t="str">
        <f t="shared" si="7"/>
        <v xml:space="preserve">  Bob@Gmail.Com       </v>
      </c>
      <c r="R5" s="12" t="str">
        <f t="shared" si="8"/>
        <v>bob@gmail.com</v>
      </c>
      <c r="S5" s="12" t="str">
        <f t="shared" si="9"/>
        <v>.com</v>
      </c>
      <c r="T5" s="12" t="str">
        <f t="shared" si="10"/>
        <v>bob@</v>
      </c>
      <c r="U5" s="12" t="str">
        <f t="shared" si="11"/>
        <v>gmail.</v>
      </c>
    </row>
    <row r="6" spans="1:21" x14ac:dyDescent="0.35">
      <c r="A6" s="2" t="s">
        <v>30</v>
      </c>
      <c r="B6" s="2" t="s">
        <v>72</v>
      </c>
      <c r="C6" s="2" t="s">
        <v>31</v>
      </c>
      <c r="D6" s="27" t="str">
        <f t="shared" si="0"/>
        <v>(567) 890-1234</v>
      </c>
      <c r="F6" s="3" t="str">
        <f t="shared" si="1"/>
        <v>(567)</v>
      </c>
      <c r="G6" s="3" t="str">
        <f t="shared" si="2"/>
        <v>890-1234</v>
      </c>
      <c r="I6" s="3" t="str">
        <f t="shared" si="3"/>
        <v>Emily Chen - (567) 890-1234</v>
      </c>
      <c r="K6" s="3" t="str">
        <f t="shared" si="4"/>
        <v xml:space="preserve">emily@outlook.com     </v>
      </c>
      <c r="N6" s="12" t="str">
        <f t="shared" si="5"/>
        <v xml:space="preserve">EMILY@GMAIL.COM     </v>
      </c>
      <c r="O6" s="12" t="str">
        <f t="shared" si="6"/>
        <v xml:space="preserve">emily@gmail.com     </v>
      </c>
      <c r="P6" s="12" t="str">
        <f t="shared" si="7"/>
        <v xml:space="preserve">Emily@Gmail.Com     </v>
      </c>
      <c r="R6" s="12" t="str">
        <f t="shared" si="8"/>
        <v>emily@gmail.com</v>
      </c>
      <c r="S6" s="12" t="str">
        <f t="shared" si="9"/>
        <v>.com</v>
      </c>
      <c r="T6" s="12" t="str">
        <f t="shared" si="10"/>
        <v>emil</v>
      </c>
      <c r="U6" s="12" t="str">
        <f t="shared" si="11"/>
        <v>y@gmai</v>
      </c>
    </row>
    <row r="7" spans="1:21" x14ac:dyDescent="0.35">
      <c r="A7" s="2" t="s">
        <v>32</v>
      </c>
      <c r="B7" s="2" t="s">
        <v>73</v>
      </c>
      <c r="C7" s="2" t="s">
        <v>33</v>
      </c>
      <c r="D7" s="27" t="str">
        <f t="shared" si="0"/>
        <v>(890) 123-2345</v>
      </c>
      <c r="F7" s="3" t="str">
        <f t="shared" si="1"/>
        <v>(890)</v>
      </c>
      <c r="G7" s="3" t="str">
        <f t="shared" si="2"/>
        <v>123-2345</v>
      </c>
      <c r="I7" s="3" t="str">
        <f t="shared" si="3"/>
        <v>Michael Wu - (890) 123-2345</v>
      </c>
      <c r="K7" s="3" t="str">
        <f t="shared" si="4"/>
        <v xml:space="preserve">michael@outlook.com   </v>
      </c>
      <c r="N7" s="12" t="str">
        <f t="shared" si="5"/>
        <v xml:space="preserve">MICHAEL@GMAIL.COM   </v>
      </c>
      <c r="O7" s="12" t="str">
        <f t="shared" si="6"/>
        <v xml:space="preserve">michael@gmail.com   </v>
      </c>
      <c r="P7" s="12" t="str">
        <f t="shared" si="7"/>
        <v xml:space="preserve">Michael@Gmail.Com   </v>
      </c>
      <c r="R7" s="12" t="str">
        <f t="shared" si="8"/>
        <v>michael@gmail.com</v>
      </c>
      <c r="S7" s="12" t="str">
        <f t="shared" si="9"/>
        <v>.com</v>
      </c>
      <c r="T7" s="12" t="str">
        <f t="shared" si="10"/>
        <v>mich</v>
      </c>
      <c r="U7" s="12" t="str">
        <f t="shared" si="11"/>
        <v>ael@gm</v>
      </c>
    </row>
    <row r="8" spans="1:21" x14ac:dyDescent="0.35">
      <c r="A8" s="2" t="s">
        <v>34</v>
      </c>
      <c r="B8" s="2" t="s">
        <v>74</v>
      </c>
      <c r="C8" s="2" t="s">
        <v>35</v>
      </c>
      <c r="D8" s="27" t="str">
        <f t="shared" si="0"/>
        <v>(345) 678-9012</v>
      </c>
      <c r="F8" s="3" t="str">
        <f t="shared" si="1"/>
        <v>(345)</v>
      </c>
      <c r="G8" s="3" t="str">
        <f t="shared" si="2"/>
        <v>678-9012</v>
      </c>
      <c r="I8" s="3" t="str">
        <f t="shared" si="3"/>
        <v>Sarah Kim - (345) 678-9012</v>
      </c>
      <c r="K8" s="3" t="str">
        <f t="shared" si="4"/>
        <v xml:space="preserve">  sarah@outlook.com     </v>
      </c>
      <c r="N8" s="12" t="str">
        <f t="shared" si="5"/>
        <v xml:space="preserve">  SARAH@GMAIL.COM     </v>
      </c>
      <c r="O8" s="12" t="str">
        <f t="shared" si="6"/>
        <v xml:space="preserve">  sarah@gmail.com     </v>
      </c>
      <c r="P8" s="12" t="str">
        <f t="shared" si="7"/>
        <v xml:space="preserve">  Sarah@Gmail.Com     </v>
      </c>
      <c r="R8" s="12" t="str">
        <f t="shared" si="8"/>
        <v>sarah@gmail.com</v>
      </c>
      <c r="S8" s="12" t="str">
        <f t="shared" si="9"/>
        <v>.com</v>
      </c>
      <c r="T8" s="12" t="str">
        <f t="shared" si="10"/>
        <v>sara</v>
      </c>
      <c r="U8" s="12" t="str">
        <f t="shared" si="11"/>
        <v>h@gmai</v>
      </c>
    </row>
    <row r="9" spans="1:21" x14ac:dyDescent="0.35">
      <c r="A9" s="2" t="s">
        <v>36</v>
      </c>
      <c r="B9" s="2" t="s">
        <v>75</v>
      </c>
      <c r="C9" s="2" t="s">
        <v>37</v>
      </c>
      <c r="D9" s="27" t="str">
        <f t="shared" si="0"/>
        <v>(678) 901-2345</v>
      </c>
      <c r="F9" s="3" t="str">
        <f t="shared" si="1"/>
        <v>(678)</v>
      </c>
      <c r="G9" s="3" t="str">
        <f t="shared" si="2"/>
        <v>901-2345</v>
      </c>
      <c r="I9" s="3" t="str">
        <f t="shared" si="3"/>
        <v>David Lee - (678) 901-2345</v>
      </c>
      <c r="K9" s="3" t="str">
        <f t="shared" si="4"/>
        <v xml:space="preserve">  david@outlook.com     </v>
      </c>
      <c r="N9" s="12" t="str">
        <f t="shared" si="5"/>
        <v xml:space="preserve">  DAVID@GMAIL.COM     </v>
      </c>
      <c r="O9" s="12" t="str">
        <f t="shared" si="6"/>
        <v xml:space="preserve">  david@gmail.com     </v>
      </c>
      <c r="P9" s="12" t="str">
        <f t="shared" si="7"/>
        <v xml:space="preserve">  David@Gmail.Com     </v>
      </c>
      <c r="R9" s="12" t="str">
        <f t="shared" si="8"/>
        <v>david@gmail.com</v>
      </c>
      <c r="S9" s="12" t="str">
        <f t="shared" si="9"/>
        <v>.com</v>
      </c>
      <c r="T9" s="12" t="str">
        <f t="shared" si="10"/>
        <v>davi</v>
      </c>
      <c r="U9" s="12" t="str">
        <f t="shared" si="11"/>
        <v>d@gmai</v>
      </c>
    </row>
    <row r="10" spans="1:21" x14ac:dyDescent="0.35">
      <c r="A10" s="2" t="s">
        <v>38</v>
      </c>
      <c r="B10" s="2" t="s">
        <v>76</v>
      </c>
      <c r="C10" s="2" t="s">
        <v>39</v>
      </c>
      <c r="D10" s="27" t="str">
        <f t="shared" si="0"/>
        <v>(123) 234-5678</v>
      </c>
      <c r="F10" s="3" t="str">
        <f t="shared" si="1"/>
        <v>(123)</v>
      </c>
      <c r="G10" s="3" t="str">
        <f t="shared" si="2"/>
        <v>234-5678</v>
      </c>
      <c r="I10" s="3" t="str">
        <f t="shared" si="3"/>
        <v>Lisa Wang - (123) 234-5678</v>
      </c>
      <c r="K10" s="3" t="str">
        <f t="shared" si="4"/>
        <v xml:space="preserve">  lisa@outlook.com      </v>
      </c>
      <c r="N10" s="12" t="str">
        <f t="shared" si="5"/>
        <v xml:space="preserve">  LISA@GMAIL.COM      </v>
      </c>
      <c r="O10" s="12" t="str">
        <f t="shared" si="6"/>
        <v xml:space="preserve">  lisa@gmail.com      </v>
      </c>
      <c r="P10" s="12" t="str">
        <f t="shared" si="7"/>
        <v xml:space="preserve">  Lisa@Gmail.Com      </v>
      </c>
      <c r="R10" s="12" t="str">
        <f t="shared" si="8"/>
        <v>lisa@gmail.com</v>
      </c>
      <c r="S10" s="12" t="str">
        <f t="shared" si="9"/>
        <v>.com</v>
      </c>
      <c r="T10" s="12" t="str">
        <f t="shared" si="10"/>
        <v>lisa</v>
      </c>
      <c r="U10" s="12" t="str">
        <f t="shared" si="11"/>
        <v>@gmail</v>
      </c>
    </row>
    <row r="11" spans="1:21" x14ac:dyDescent="0.35">
      <c r="A11" s="2" t="s">
        <v>40</v>
      </c>
      <c r="B11" s="2" t="s">
        <v>77</v>
      </c>
      <c r="C11" s="2" t="s">
        <v>41</v>
      </c>
      <c r="D11" s="27" t="str">
        <f t="shared" si="0"/>
        <v>(456) 567-8901</v>
      </c>
      <c r="F11" s="3" t="str">
        <f t="shared" si="1"/>
        <v>(456)</v>
      </c>
      <c r="G11" s="3" t="str">
        <f t="shared" si="2"/>
        <v>567-8901</v>
      </c>
      <c r="I11" s="3" t="str">
        <f t="shared" si="3"/>
        <v>Kevin Liu - (456) 567-8901</v>
      </c>
      <c r="K11" s="3" t="str">
        <f t="shared" si="4"/>
        <v xml:space="preserve">  kevin@outlook.com     </v>
      </c>
      <c r="N11" s="12" t="str">
        <f t="shared" si="5"/>
        <v xml:space="preserve">  KEVIN@GMAIL.COM     </v>
      </c>
      <c r="O11" s="12" t="str">
        <f t="shared" si="6"/>
        <v xml:space="preserve">  kevin@gmail.com     </v>
      </c>
      <c r="P11" s="12" t="str">
        <f t="shared" si="7"/>
        <v xml:space="preserve">  Kevin@Gmail.Com     </v>
      </c>
      <c r="R11" s="12" t="str">
        <f t="shared" si="8"/>
        <v>kevin@gmail.com</v>
      </c>
      <c r="S11" s="12" t="str">
        <f t="shared" si="9"/>
        <v>.com</v>
      </c>
      <c r="T11" s="12" t="str">
        <f t="shared" si="10"/>
        <v>kevi</v>
      </c>
      <c r="U11" s="12" t="str">
        <f t="shared" si="11"/>
        <v>n@gmai</v>
      </c>
    </row>
    <row r="12" spans="1:21" x14ac:dyDescent="0.35">
      <c r="A12" s="2" t="s">
        <v>42</v>
      </c>
      <c r="B12" s="2" t="s">
        <v>78</v>
      </c>
      <c r="C12" s="2" t="s">
        <v>43</v>
      </c>
      <c r="D12" s="27" t="str">
        <f t="shared" si="0"/>
        <v>(789) 890-1234</v>
      </c>
      <c r="F12" s="3" t="str">
        <f t="shared" si="1"/>
        <v>(789)</v>
      </c>
      <c r="G12" s="3" t="str">
        <f t="shared" si="2"/>
        <v>890-1234</v>
      </c>
      <c r="I12" s="3" t="str">
        <f t="shared" si="3"/>
        <v>Mary Smith - (789) 890-1234</v>
      </c>
      <c r="K12" s="3" t="str">
        <f t="shared" si="4"/>
        <v xml:space="preserve"> mary@outlook.com    </v>
      </c>
      <c r="N12" s="12" t="str">
        <f t="shared" si="5"/>
        <v xml:space="preserve"> MARY@GMAIL.COM    </v>
      </c>
      <c r="O12" s="12" t="str">
        <f t="shared" si="6"/>
        <v xml:space="preserve"> mary@gmail.com    </v>
      </c>
      <c r="P12" s="12" t="str">
        <f t="shared" si="7"/>
        <v xml:space="preserve"> Mary@Gmail.Com    </v>
      </c>
      <c r="R12" s="12" t="str">
        <f t="shared" si="8"/>
        <v>mary@gmail.com</v>
      </c>
      <c r="S12" s="12" t="str">
        <f t="shared" si="9"/>
        <v>.com</v>
      </c>
      <c r="T12" s="12" t="str">
        <f t="shared" si="10"/>
        <v>mary</v>
      </c>
      <c r="U12" s="12" t="str">
        <f t="shared" si="11"/>
        <v>@gmail</v>
      </c>
    </row>
    <row r="13" spans="1:21" x14ac:dyDescent="0.35">
      <c r="A13" s="2" t="s">
        <v>44</v>
      </c>
      <c r="B13" s="2" t="s">
        <v>79</v>
      </c>
      <c r="C13" s="2" t="s">
        <v>45</v>
      </c>
      <c r="D13" s="27" t="str">
        <f t="shared" si="0"/>
        <v>(234) 345-6789</v>
      </c>
      <c r="F13" s="3" t="str">
        <f t="shared" si="1"/>
        <v>(234)</v>
      </c>
      <c r="G13" s="3" t="str">
        <f t="shared" si="2"/>
        <v>345-6789</v>
      </c>
      <c r="I13" s="3" t="str">
        <f t="shared" si="3"/>
        <v>Alex Chen - (234) 345-6789</v>
      </c>
      <c r="K13" s="3" t="str">
        <f t="shared" si="4"/>
        <v xml:space="preserve">  alex@outlook.com      </v>
      </c>
      <c r="N13" s="12" t="str">
        <f t="shared" si="5"/>
        <v xml:space="preserve">  ALEX@GMAIL.COM      </v>
      </c>
      <c r="O13" s="12" t="str">
        <f t="shared" si="6"/>
        <v xml:space="preserve">  alex@gmail.com      </v>
      </c>
      <c r="P13" s="12" t="str">
        <f t="shared" si="7"/>
        <v xml:space="preserve">  Alex@Gmail.Com      </v>
      </c>
      <c r="R13" s="12" t="str">
        <f t="shared" si="8"/>
        <v>alex@gmail.com</v>
      </c>
      <c r="S13" s="12" t="str">
        <f t="shared" si="9"/>
        <v>.com</v>
      </c>
      <c r="T13" s="12" t="str">
        <f t="shared" si="10"/>
        <v>alex</v>
      </c>
      <c r="U13" s="12" t="str">
        <f t="shared" si="11"/>
        <v>@gmail</v>
      </c>
    </row>
    <row r="14" spans="1:21" x14ac:dyDescent="0.35">
      <c r="A14" s="2" t="s">
        <v>46</v>
      </c>
      <c r="B14" s="2" t="s">
        <v>80</v>
      </c>
      <c r="C14" s="2" t="s">
        <v>47</v>
      </c>
      <c r="D14" s="27" t="str">
        <f t="shared" si="0"/>
        <v>(567) 678-9012</v>
      </c>
      <c r="F14" s="3" t="str">
        <f t="shared" si="1"/>
        <v>(567)</v>
      </c>
      <c r="G14" s="3" t="str">
        <f t="shared" si="2"/>
        <v>678-9012</v>
      </c>
      <c r="I14" s="3" t="str">
        <f t="shared" si="3"/>
        <v>Laura Wu - (567) 678-9012</v>
      </c>
      <c r="K14" s="3" t="str">
        <f t="shared" si="4"/>
        <v xml:space="preserve">  laura@outlook.com     </v>
      </c>
      <c r="N14" s="12" t="str">
        <f t="shared" si="5"/>
        <v xml:space="preserve">  LAURA@GMAIL.COM     </v>
      </c>
      <c r="O14" s="12" t="str">
        <f t="shared" si="6"/>
        <v xml:space="preserve">  laura@gmail.com     </v>
      </c>
      <c r="P14" s="12" t="str">
        <f t="shared" si="7"/>
        <v xml:space="preserve">  Laura@Gmail.Com     </v>
      </c>
      <c r="R14" s="12" t="str">
        <f t="shared" si="8"/>
        <v>laura@gmail.com</v>
      </c>
      <c r="S14" s="12" t="str">
        <f t="shared" si="9"/>
        <v>.com</v>
      </c>
      <c r="T14" s="12" t="str">
        <f t="shared" si="10"/>
        <v>laur</v>
      </c>
      <c r="U14" s="12" t="str">
        <f t="shared" si="11"/>
        <v>a@gmai</v>
      </c>
    </row>
    <row r="15" spans="1:21" x14ac:dyDescent="0.35">
      <c r="A15" s="2" t="s">
        <v>48</v>
      </c>
      <c r="B15" s="2" t="s">
        <v>81</v>
      </c>
      <c r="C15" s="2" t="s">
        <v>49</v>
      </c>
      <c r="D15" s="27" t="str">
        <f t="shared" si="0"/>
        <v>(890) 901-2345</v>
      </c>
      <c r="F15" s="3" t="str">
        <f t="shared" si="1"/>
        <v>(890)</v>
      </c>
      <c r="G15" s="3" t="str">
        <f t="shared" si="2"/>
        <v>901-2345</v>
      </c>
      <c r="I15" s="3" t="str">
        <f t="shared" si="3"/>
        <v>Brian Kim - (890) 901-2345</v>
      </c>
      <c r="K15" s="3" t="str">
        <f t="shared" si="4"/>
        <v xml:space="preserve">  brian@outlook.com     </v>
      </c>
      <c r="N15" s="12" t="str">
        <f t="shared" si="5"/>
        <v xml:space="preserve">  BRIAN@GMAIL.COM     </v>
      </c>
      <c r="O15" s="12" t="str">
        <f t="shared" si="6"/>
        <v xml:space="preserve">  brian@gmail.com     </v>
      </c>
      <c r="P15" s="12" t="str">
        <f t="shared" si="7"/>
        <v xml:space="preserve">  Brian@Gmail.Com     </v>
      </c>
      <c r="R15" s="12" t="str">
        <f t="shared" si="8"/>
        <v>brian@gmail.com</v>
      </c>
      <c r="S15" s="12" t="str">
        <f t="shared" si="9"/>
        <v>.com</v>
      </c>
      <c r="T15" s="12" t="str">
        <f t="shared" si="10"/>
        <v>bria</v>
      </c>
      <c r="U15" s="12" t="str">
        <f t="shared" si="11"/>
        <v>n@gmai</v>
      </c>
    </row>
    <row r="16" spans="1:21" x14ac:dyDescent="0.35">
      <c r="A16" s="2" t="s">
        <v>50</v>
      </c>
      <c r="B16" s="2" t="s">
        <v>82</v>
      </c>
      <c r="C16" s="2" t="s">
        <v>51</v>
      </c>
      <c r="D16" s="27" t="str">
        <f t="shared" si="0"/>
        <v>(345) 456-7890</v>
      </c>
      <c r="F16" s="3" t="str">
        <f t="shared" si="1"/>
        <v>(345)</v>
      </c>
      <c r="G16" s="3" t="str">
        <f t="shared" si="2"/>
        <v>456-7890</v>
      </c>
      <c r="I16" s="3" t="str">
        <f t="shared" si="3"/>
        <v>Olivia Lin - (345) 456-7890</v>
      </c>
      <c r="K16" s="3" t="str">
        <f t="shared" si="4"/>
        <v xml:space="preserve">olivia@outlook.com     </v>
      </c>
      <c r="N16" s="12" t="str">
        <f t="shared" si="5"/>
        <v xml:space="preserve">OLIVIA@GMAIL.COM     </v>
      </c>
      <c r="O16" s="12" t="str">
        <f t="shared" si="6"/>
        <v xml:space="preserve">olivia@gmail.com     </v>
      </c>
      <c r="P16" s="12" t="str">
        <f t="shared" si="7"/>
        <v xml:space="preserve">Olivia@Gmail.Com     </v>
      </c>
      <c r="R16" s="12" t="str">
        <f t="shared" si="8"/>
        <v>olivia@gmail.com</v>
      </c>
      <c r="S16" s="12" t="str">
        <f t="shared" si="9"/>
        <v>.com</v>
      </c>
      <c r="T16" s="12" t="str">
        <f t="shared" si="10"/>
        <v>oliv</v>
      </c>
      <c r="U16" s="12" t="str">
        <f t="shared" si="11"/>
        <v>ia@gma</v>
      </c>
    </row>
    <row r="17" spans="1:21" x14ac:dyDescent="0.35">
      <c r="A17" s="2" t="s">
        <v>52</v>
      </c>
      <c r="B17" s="2" t="s">
        <v>83</v>
      </c>
      <c r="C17" s="2" t="s">
        <v>53</v>
      </c>
      <c r="D17" s="27" t="str">
        <f t="shared" si="0"/>
        <v>(678) 567-8901</v>
      </c>
      <c r="F17" s="3" t="str">
        <f t="shared" si="1"/>
        <v>(678)</v>
      </c>
      <c r="G17" s="3" t="str">
        <f t="shared" si="2"/>
        <v>567-8901</v>
      </c>
      <c r="I17" s="3" t="str">
        <f t="shared" si="3"/>
        <v>James Wong - (678) 567-8901</v>
      </c>
      <c r="K17" s="3" t="str">
        <f t="shared" si="4"/>
        <v xml:space="preserve"> james@outlook.com      </v>
      </c>
      <c r="N17" s="12" t="str">
        <f t="shared" si="5"/>
        <v xml:space="preserve"> JAMES@GMAIL.COM      </v>
      </c>
      <c r="O17" s="12" t="str">
        <f t="shared" si="6"/>
        <v xml:space="preserve"> james@gmail.com      </v>
      </c>
      <c r="P17" s="12" t="str">
        <f t="shared" si="7"/>
        <v xml:space="preserve"> James@Gmail.Com      </v>
      </c>
      <c r="R17" s="12" t="str">
        <f t="shared" si="8"/>
        <v>james@gmail.com</v>
      </c>
      <c r="S17" s="12" t="str">
        <f t="shared" si="9"/>
        <v>.com</v>
      </c>
      <c r="T17" s="12" t="str">
        <f t="shared" si="10"/>
        <v>jame</v>
      </c>
      <c r="U17" s="12" t="str">
        <f t="shared" si="11"/>
        <v>s@gmai</v>
      </c>
    </row>
    <row r="18" spans="1:21" x14ac:dyDescent="0.35">
      <c r="A18" s="2" t="s">
        <v>54</v>
      </c>
      <c r="B18" s="2" t="s">
        <v>84</v>
      </c>
      <c r="C18" s="2" t="s">
        <v>55</v>
      </c>
      <c r="D18" s="27" t="str">
        <f t="shared" si="0"/>
        <v>(123) 678-9012</v>
      </c>
      <c r="F18" s="3" t="str">
        <f t="shared" si="1"/>
        <v>(123)</v>
      </c>
      <c r="G18" s="3" t="str">
        <f t="shared" si="2"/>
        <v>678-9012</v>
      </c>
      <c r="I18" s="3" t="str">
        <f t="shared" si="3"/>
        <v>Grace Liu - (123) 678-9012</v>
      </c>
      <c r="K18" s="3" t="str">
        <f t="shared" si="4"/>
        <v xml:space="preserve">  grace@outlook.com     </v>
      </c>
      <c r="N18" s="12" t="str">
        <f t="shared" si="5"/>
        <v xml:space="preserve">  GRACE@GMAIL.COM     </v>
      </c>
      <c r="O18" s="12" t="str">
        <f t="shared" si="6"/>
        <v xml:space="preserve">  grace@gmail.com     </v>
      </c>
      <c r="P18" s="12" t="str">
        <f t="shared" si="7"/>
        <v xml:space="preserve">  Grace@Gmail.Com     </v>
      </c>
      <c r="R18" s="12" t="str">
        <f t="shared" si="8"/>
        <v>grace@gmail.com</v>
      </c>
      <c r="S18" s="12" t="str">
        <f t="shared" si="9"/>
        <v>.com</v>
      </c>
      <c r="T18" s="12" t="str">
        <f t="shared" si="10"/>
        <v>grac</v>
      </c>
      <c r="U18" s="12" t="str">
        <f t="shared" si="11"/>
        <v>e@gmai</v>
      </c>
    </row>
    <row r="19" spans="1:21" x14ac:dyDescent="0.35">
      <c r="A19" s="2" t="s">
        <v>56</v>
      </c>
      <c r="B19" s="2" t="s">
        <v>85</v>
      </c>
      <c r="C19" s="2" t="s">
        <v>57</v>
      </c>
      <c r="D19" s="27" t="str">
        <f t="shared" si="0"/>
        <v>(456) 789-0123</v>
      </c>
      <c r="F19" s="3" t="str">
        <f t="shared" si="1"/>
        <v>(456)</v>
      </c>
      <c r="G19" s="3" t="str">
        <f t="shared" si="2"/>
        <v>789-0123</v>
      </c>
      <c r="I19" s="3" t="str">
        <f t="shared" si="3"/>
        <v>Thomas Ng - (456) 789-0123</v>
      </c>
      <c r="K19" s="3" t="str">
        <f t="shared" si="4"/>
        <v xml:space="preserve">  thomas@outlook.com    </v>
      </c>
      <c r="N19" s="12" t="str">
        <f t="shared" si="5"/>
        <v xml:space="preserve">  THOMAS@GMAIL.COM    </v>
      </c>
      <c r="O19" s="12" t="str">
        <f t="shared" si="6"/>
        <v xml:space="preserve">  thomas@gmail.com    </v>
      </c>
      <c r="P19" s="12" t="str">
        <f t="shared" si="7"/>
        <v xml:space="preserve">  Thomas@Gmail.Com    </v>
      </c>
      <c r="R19" s="12" t="str">
        <f t="shared" si="8"/>
        <v>thomas@gmail.com</v>
      </c>
      <c r="S19" s="12" t="str">
        <f t="shared" si="9"/>
        <v>.com</v>
      </c>
      <c r="T19" s="12" t="str">
        <f t="shared" si="10"/>
        <v>thom</v>
      </c>
      <c r="U19" s="12" t="str">
        <f t="shared" si="11"/>
        <v>as@gma</v>
      </c>
    </row>
    <row r="20" spans="1:21" x14ac:dyDescent="0.35">
      <c r="A20" s="2" t="s">
        <v>58</v>
      </c>
      <c r="B20" s="2" t="s">
        <v>86</v>
      </c>
      <c r="C20" s="2" t="s">
        <v>59</v>
      </c>
      <c r="D20" s="27" t="str">
        <f t="shared" si="0"/>
        <v>(789) 012-3456</v>
      </c>
      <c r="F20" s="3" t="str">
        <f t="shared" si="1"/>
        <v>(789)</v>
      </c>
      <c r="G20" s="3" t="str">
        <f t="shared" si="2"/>
        <v>012-3456</v>
      </c>
      <c r="I20" s="3" t="str">
        <f t="shared" si="3"/>
        <v>Ava Wu - (789) 012-3456</v>
      </c>
      <c r="K20" s="3" t="str">
        <f t="shared" si="4"/>
        <v xml:space="preserve">  ava@outlook.com       </v>
      </c>
      <c r="N20" s="12" t="str">
        <f t="shared" si="5"/>
        <v xml:space="preserve">  AVA@GMAIL.COM       </v>
      </c>
      <c r="O20" s="12" t="str">
        <f t="shared" si="6"/>
        <v xml:space="preserve">  ava@gmail.com       </v>
      </c>
      <c r="P20" s="12" t="str">
        <f t="shared" si="7"/>
        <v xml:space="preserve">  Ava@Gmail.Com       </v>
      </c>
      <c r="R20" s="12" t="str">
        <f t="shared" si="8"/>
        <v>ava@gmail.com</v>
      </c>
      <c r="S20" s="12" t="str">
        <f t="shared" si="9"/>
        <v>.com</v>
      </c>
      <c r="T20" s="12" t="str">
        <f t="shared" si="10"/>
        <v>ava@</v>
      </c>
      <c r="U20" s="12" t="str">
        <f t="shared" si="11"/>
        <v>gmail.</v>
      </c>
    </row>
    <row r="21" spans="1:21" x14ac:dyDescent="0.35">
      <c r="A21" s="2" t="s">
        <v>60</v>
      </c>
      <c r="B21" s="2" t="s">
        <v>87</v>
      </c>
      <c r="C21" s="2" t="s">
        <v>61</v>
      </c>
      <c r="D21" s="27" t="str">
        <f t="shared" si="0"/>
        <v>(234) 123-4567</v>
      </c>
      <c r="F21" s="3" t="str">
        <f t="shared" si="1"/>
        <v>(234)</v>
      </c>
      <c r="G21" s="3" t="str">
        <f t="shared" si="2"/>
        <v>123-4567</v>
      </c>
      <c r="I21" s="3" t="str">
        <f t="shared" si="3"/>
        <v>Ethan Lee - (234) 123-4567</v>
      </c>
      <c r="K21" s="3" t="str">
        <f t="shared" si="4"/>
        <v xml:space="preserve">  ethan@outlook.com     </v>
      </c>
      <c r="N21" s="12" t="str">
        <f t="shared" si="5"/>
        <v xml:space="preserve">  ETHAN@GMAIL.COM     </v>
      </c>
      <c r="O21" s="12" t="str">
        <f t="shared" si="6"/>
        <v xml:space="preserve">  ethan@gmail.com     </v>
      </c>
      <c r="P21" s="12" t="str">
        <f t="shared" si="7"/>
        <v xml:space="preserve">  Ethan@Gmail.Com     </v>
      </c>
      <c r="R21" s="12" t="str">
        <f t="shared" si="8"/>
        <v>ethan@gmail.com</v>
      </c>
      <c r="S21" s="12" t="str">
        <f t="shared" si="9"/>
        <v>.com</v>
      </c>
      <c r="T21" s="12" t="str">
        <f t="shared" si="10"/>
        <v>etha</v>
      </c>
      <c r="U21" s="12" t="str">
        <f t="shared" si="11"/>
        <v>n@gmai</v>
      </c>
    </row>
    <row r="23" spans="1:21" ht="13.75" customHeight="1" x14ac:dyDescent="0.45">
      <c r="G23" s="20"/>
    </row>
    <row r="25" spans="1:21" x14ac:dyDescent="0.35">
      <c r="B25" s="24" t="s">
        <v>66</v>
      </c>
      <c r="C25" s="24"/>
      <c r="D25" s="24"/>
      <c r="E25" s="24"/>
      <c r="F25" s="24"/>
      <c r="G25" s="24"/>
      <c r="H25" s="24"/>
    </row>
    <row r="26" spans="1:21" x14ac:dyDescent="0.35">
      <c r="B26" s="24" t="s">
        <v>67</v>
      </c>
      <c r="C26" s="24"/>
      <c r="D26" s="24"/>
      <c r="E26" s="24"/>
      <c r="F26" s="24"/>
      <c r="G26" s="24"/>
      <c r="H26" s="24"/>
    </row>
    <row r="27" spans="1:21" x14ac:dyDescent="0.35">
      <c r="B27" s="24" t="s">
        <v>88</v>
      </c>
      <c r="C27" s="24"/>
      <c r="D27" s="24"/>
      <c r="E27" s="24"/>
      <c r="F27" s="24"/>
      <c r="G27" s="24"/>
      <c r="H27" s="24"/>
    </row>
    <row r="28" spans="1:21" x14ac:dyDescent="0.35">
      <c r="B28" s="24" t="s">
        <v>96</v>
      </c>
      <c r="C28" s="24"/>
      <c r="D28" s="24"/>
      <c r="E28" s="24"/>
      <c r="F28" s="24"/>
      <c r="G28" s="24"/>
      <c r="H28" s="24"/>
    </row>
    <row r="29" spans="1:21" x14ac:dyDescent="0.35">
      <c r="B29" s="24" t="s">
        <v>97</v>
      </c>
      <c r="C29" s="24"/>
      <c r="D29" s="24"/>
      <c r="E29" s="24"/>
      <c r="F29" s="24"/>
      <c r="G29" s="24"/>
      <c r="H29" s="24"/>
    </row>
    <row r="30" spans="1:21" x14ac:dyDescent="0.35">
      <c r="B30" s="24" t="s">
        <v>98</v>
      </c>
      <c r="C30" s="24"/>
      <c r="D30" s="24"/>
      <c r="E30" s="24"/>
      <c r="F30" s="24"/>
      <c r="G30" s="24"/>
      <c r="H30" s="24"/>
    </row>
  </sheetData>
  <mergeCells count="6">
    <mergeCell ref="B29:H29"/>
    <mergeCell ref="B30:H30"/>
    <mergeCell ref="B25:H25"/>
    <mergeCell ref="B26:H26"/>
    <mergeCell ref="B27:H27"/>
    <mergeCell ref="B28:H28"/>
  </mergeCells>
  <hyperlinks>
    <hyperlink ref="B6" r:id="rId1" display="emily@example.com     " xr:uid="{2EBCB338-A774-409E-93AB-758C9FFB16B0}"/>
    <hyperlink ref="B16" r:id="rId2" display="olivia@example.com     " xr:uid="{A6BDE59F-52C8-42A7-9926-369BCF4ED8C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DDEB-09A7-40E4-8BD6-A847B4A99098}">
  <sheetPr>
    <tabColor theme="4" tint="0.39997558519241921"/>
  </sheetPr>
  <dimension ref="A1:J21"/>
  <sheetViews>
    <sheetView showGridLines="0" topLeftCell="C1" zoomScale="70" workbookViewId="0">
      <selection activeCell="J11" sqref="J11"/>
    </sheetView>
  </sheetViews>
  <sheetFormatPr defaultRowHeight="14.5" x14ac:dyDescent="0.35"/>
  <cols>
    <col min="1" max="1" width="25.1796875" customWidth="1"/>
    <col min="2" max="2" width="24" customWidth="1"/>
    <col min="9" max="9" width="26.6328125" bestFit="1" customWidth="1"/>
    <col min="10" max="10" width="30.08984375" customWidth="1"/>
    <col min="11" max="11" width="30.6328125" customWidth="1"/>
  </cols>
  <sheetData>
    <row r="1" spans="1:10" x14ac:dyDescent="0.35">
      <c r="A1" s="14" t="s">
        <v>181</v>
      </c>
      <c r="B1" s="14" t="s">
        <v>99</v>
      </c>
    </row>
    <row r="2" spans="1:10" ht="16.75" customHeight="1" x14ac:dyDescent="0.35">
      <c r="A2" s="18" t="s">
        <v>174</v>
      </c>
      <c r="B2" s="2">
        <v>130</v>
      </c>
    </row>
    <row r="3" spans="1:10" x14ac:dyDescent="0.35">
      <c r="A3" s="18" t="s">
        <v>153</v>
      </c>
      <c r="B3" s="2">
        <v>120</v>
      </c>
    </row>
    <row r="4" spans="1:10" ht="18.5" x14ac:dyDescent="0.4">
      <c r="A4" s="18" t="s">
        <v>145</v>
      </c>
      <c r="B4" s="2">
        <v>120</v>
      </c>
      <c r="I4" s="22" t="s">
        <v>101</v>
      </c>
      <c r="J4" s="21">
        <f>COUNT(B2:B21)</f>
        <v>20</v>
      </c>
    </row>
    <row r="5" spans="1:10" ht="18.5" x14ac:dyDescent="0.4">
      <c r="A5" s="18" t="s">
        <v>141</v>
      </c>
      <c r="B5" s="2">
        <v>110</v>
      </c>
      <c r="I5" s="22" t="s">
        <v>100</v>
      </c>
      <c r="J5" s="21">
        <f>COUNTA(A2:A21)</f>
        <v>20</v>
      </c>
    </row>
    <row r="6" spans="1:10" ht="18.5" x14ac:dyDescent="0.4">
      <c r="A6" s="18" t="s">
        <v>120</v>
      </c>
      <c r="B6" s="2">
        <v>110</v>
      </c>
      <c r="I6" s="22" t="s">
        <v>102</v>
      </c>
      <c r="J6" s="21">
        <f>SUM(B2:B21)</f>
        <v>1815</v>
      </c>
    </row>
    <row r="7" spans="1:10" ht="18.5" x14ac:dyDescent="0.4">
      <c r="A7" s="18" t="s">
        <v>132</v>
      </c>
      <c r="B7" s="2">
        <v>105</v>
      </c>
      <c r="I7" s="22" t="s">
        <v>103</v>
      </c>
      <c r="J7" s="21">
        <f>AVERAGE(B2:B21)</f>
        <v>90.75</v>
      </c>
    </row>
    <row r="8" spans="1:10" ht="18.5" x14ac:dyDescent="0.4">
      <c r="A8" s="18" t="s">
        <v>131</v>
      </c>
      <c r="B8" s="2">
        <v>100</v>
      </c>
      <c r="I8" s="22" t="s">
        <v>104</v>
      </c>
      <c r="J8" s="21">
        <f>MIN(B2:B21)</f>
        <v>55</v>
      </c>
    </row>
    <row r="9" spans="1:10" ht="18.5" x14ac:dyDescent="0.4">
      <c r="A9" s="18" t="s">
        <v>113</v>
      </c>
      <c r="B9" s="2">
        <v>100</v>
      </c>
      <c r="I9" s="22" t="s">
        <v>105</v>
      </c>
      <c r="J9" s="21">
        <f>MAX(B2:B21)</f>
        <v>130</v>
      </c>
    </row>
    <row r="10" spans="1:10" ht="18.5" x14ac:dyDescent="0.4">
      <c r="A10" s="18" t="s">
        <v>148</v>
      </c>
      <c r="B10" s="2">
        <v>95</v>
      </c>
      <c r="I10" s="22" t="s">
        <v>106</v>
      </c>
      <c r="J10" s="35">
        <f>LARGE(B2:B21,5)</f>
        <v>110</v>
      </c>
    </row>
    <row r="11" spans="1:10" ht="18.5" x14ac:dyDescent="0.4">
      <c r="A11" s="18" t="s">
        <v>167</v>
      </c>
      <c r="B11" s="2">
        <v>90</v>
      </c>
      <c r="I11" s="34" t="s">
        <v>107</v>
      </c>
      <c r="J11" s="21">
        <f>SMALL(B2:B21,4)</f>
        <v>70</v>
      </c>
    </row>
    <row r="12" spans="1:10" x14ac:dyDescent="0.35">
      <c r="A12" s="18" t="s">
        <v>122</v>
      </c>
      <c r="B12" s="2">
        <v>90</v>
      </c>
    </row>
    <row r="13" spans="1:10" x14ac:dyDescent="0.35">
      <c r="A13" s="18" t="s">
        <v>146</v>
      </c>
      <c r="B13" s="2">
        <v>85</v>
      </c>
    </row>
    <row r="14" spans="1:10" x14ac:dyDescent="0.35">
      <c r="A14" s="18" t="s">
        <v>144</v>
      </c>
      <c r="B14" s="2">
        <v>80</v>
      </c>
    </row>
    <row r="15" spans="1:10" x14ac:dyDescent="0.35">
      <c r="A15" s="18" t="s">
        <v>156</v>
      </c>
      <c r="B15" s="2">
        <v>80</v>
      </c>
    </row>
    <row r="16" spans="1:10" x14ac:dyDescent="0.35">
      <c r="A16" s="18" t="s">
        <v>139</v>
      </c>
      <c r="B16" s="2">
        <v>75</v>
      </c>
    </row>
    <row r="17" spans="1:2" x14ac:dyDescent="0.35">
      <c r="A17" s="18" t="s">
        <v>134</v>
      </c>
      <c r="B17" s="2">
        <v>75</v>
      </c>
    </row>
    <row r="18" spans="1:2" x14ac:dyDescent="0.35">
      <c r="A18" s="18" t="s">
        <v>135</v>
      </c>
      <c r="B18" s="2">
        <v>70</v>
      </c>
    </row>
    <row r="19" spans="1:2" x14ac:dyDescent="0.35">
      <c r="A19" s="18" t="s">
        <v>155</v>
      </c>
      <c r="B19" s="2">
        <v>65</v>
      </c>
    </row>
    <row r="20" spans="1:2" x14ac:dyDescent="0.35">
      <c r="A20" s="18" t="s">
        <v>143</v>
      </c>
      <c r="B20" s="2">
        <v>60</v>
      </c>
    </row>
    <row r="21" spans="1:2" x14ac:dyDescent="0.35">
      <c r="A21" s="18" t="s">
        <v>138</v>
      </c>
      <c r="B21" s="2">
        <v>55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38A6-6181-4A79-B899-B8EA8A6FBEB6}">
  <sheetPr>
    <tabColor rgb="FF7030A0"/>
  </sheetPr>
  <dimension ref="A1:M62"/>
  <sheetViews>
    <sheetView showGridLines="0" zoomScale="53" zoomScaleNormal="88" workbookViewId="0">
      <selection activeCell="H7" sqref="H7"/>
    </sheetView>
  </sheetViews>
  <sheetFormatPr defaultRowHeight="14.5" x14ac:dyDescent="0.35"/>
  <cols>
    <col min="1" max="1" width="24.90625" customWidth="1"/>
    <col min="2" max="2" width="34.453125" customWidth="1"/>
    <col min="4" max="4" width="25.54296875" customWidth="1"/>
    <col min="6" max="6" width="21.81640625" customWidth="1"/>
    <col min="7" max="7" width="17.81640625" customWidth="1"/>
    <col min="8" max="8" width="20.6328125" customWidth="1"/>
    <col min="9" max="9" width="21.90625" customWidth="1"/>
    <col min="13" max="13" width="14.81640625" customWidth="1"/>
  </cols>
  <sheetData>
    <row r="1" spans="1:13" ht="16" x14ac:dyDescent="0.4">
      <c r="A1" s="15" t="s">
        <v>113</v>
      </c>
      <c r="B1" s="16" t="s">
        <v>175</v>
      </c>
    </row>
    <row r="2" spans="1:13" ht="18.5" x14ac:dyDescent="0.45">
      <c r="A2" s="15" t="s">
        <v>114</v>
      </c>
      <c r="B2" s="16" t="s">
        <v>177</v>
      </c>
      <c r="F2" s="23" t="s">
        <v>183</v>
      </c>
      <c r="G2" s="23"/>
      <c r="H2" s="23"/>
      <c r="I2" s="23"/>
      <c r="J2" s="23"/>
      <c r="K2" s="23"/>
      <c r="L2" s="23"/>
      <c r="M2" s="23"/>
    </row>
    <row r="3" spans="1:13" ht="18.5" x14ac:dyDescent="0.45">
      <c r="A3" s="15" t="s">
        <v>115</v>
      </c>
      <c r="B3" s="16" t="s">
        <v>108</v>
      </c>
      <c r="F3" s="23" t="s">
        <v>184</v>
      </c>
      <c r="G3" s="23"/>
      <c r="H3" s="23"/>
      <c r="I3" s="23"/>
      <c r="J3" s="23"/>
      <c r="K3" s="23"/>
      <c r="L3" s="23"/>
      <c r="M3" s="23"/>
    </row>
    <row r="4" spans="1:13" ht="16" x14ac:dyDescent="0.4">
      <c r="A4" s="15" t="s">
        <v>116</v>
      </c>
      <c r="B4" s="16" t="s">
        <v>178</v>
      </c>
    </row>
    <row r="5" spans="1:13" ht="16" x14ac:dyDescent="0.4">
      <c r="A5" s="15" t="s">
        <v>117</v>
      </c>
      <c r="B5" s="16" t="s">
        <v>109</v>
      </c>
    </row>
    <row r="6" spans="1:13" ht="18.5" x14ac:dyDescent="0.45">
      <c r="A6" s="15" t="s">
        <v>118</v>
      </c>
      <c r="B6" s="16" t="s">
        <v>110</v>
      </c>
      <c r="F6" s="37"/>
      <c r="G6" s="17" t="s">
        <v>188</v>
      </c>
      <c r="H6" s="17" t="s">
        <v>182</v>
      </c>
      <c r="I6" s="17" t="s">
        <v>181</v>
      </c>
    </row>
    <row r="7" spans="1:13" ht="16" x14ac:dyDescent="0.4">
      <c r="A7" s="15" t="s">
        <v>119</v>
      </c>
      <c r="B7" s="16" t="s">
        <v>176</v>
      </c>
      <c r="F7" s="27" t="str">
        <f>TRIM(COUNTA(_xlfn.TEXTSPLIT(I7," ")))</f>
        <v>5</v>
      </c>
      <c r="G7" s="2">
        <f>LEN(TRIM(I7))-LEN(SUBSTITUTE(I7," ",""))+1</f>
        <v>5</v>
      </c>
      <c r="H7" s="3" t="str">
        <f>VLOOKUP(I7,A:B,2,0)</f>
        <v>Sales officer</v>
      </c>
      <c r="I7" s="18" t="s">
        <v>131</v>
      </c>
    </row>
    <row r="8" spans="1:13" ht="16" x14ac:dyDescent="0.4">
      <c r="A8" s="15" t="s">
        <v>120</v>
      </c>
      <c r="B8" s="16" t="s">
        <v>175</v>
      </c>
      <c r="F8" s="27" t="str">
        <f t="shared" ref="F8:F27" si="0">TRIM(COUNTA(_xlfn.TEXTSPLIT(I8," ")))</f>
        <v>2</v>
      </c>
      <c r="G8" s="2">
        <f t="shared" ref="G8:G27" si="1">LEN(TRIM(I8))-LEN(SUBSTITUTE(I8," ",""))+1</f>
        <v>2</v>
      </c>
      <c r="H8" s="3" t="str">
        <f t="shared" ref="H8:H27" si="2">VLOOKUP(I8,A:B,2,0)</f>
        <v>Marketing</v>
      </c>
      <c r="I8" s="18" t="s">
        <v>144</v>
      </c>
    </row>
    <row r="9" spans="1:13" ht="16" x14ac:dyDescent="0.4">
      <c r="A9" s="15" t="s">
        <v>121</v>
      </c>
      <c r="B9" s="16" t="s">
        <v>111</v>
      </c>
      <c r="F9" s="27" t="str">
        <f t="shared" si="0"/>
        <v>2</v>
      </c>
      <c r="G9" s="2">
        <f t="shared" si="1"/>
        <v>2</v>
      </c>
      <c r="H9" s="3" t="str">
        <f t="shared" si="2"/>
        <v>Sales officer</v>
      </c>
      <c r="I9" s="18" t="s">
        <v>153</v>
      </c>
    </row>
    <row r="10" spans="1:13" ht="16" x14ac:dyDescent="0.4">
      <c r="A10" s="15" t="s">
        <v>122</v>
      </c>
      <c r="B10" s="16" t="s">
        <v>179</v>
      </c>
      <c r="F10" s="27" t="str">
        <f t="shared" si="0"/>
        <v>3</v>
      </c>
      <c r="G10" s="2">
        <f t="shared" si="1"/>
        <v>3</v>
      </c>
      <c r="H10" s="3" t="str">
        <f t="shared" si="2"/>
        <v>HR</v>
      </c>
      <c r="I10" s="18" t="s">
        <v>167</v>
      </c>
    </row>
    <row r="11" spans="1:13" ht="16" x14ac:dyDescent="0.4">
      <c r="A11" s="15" t="s">
        <v>123</v>
      </c>
      <c r="B11" s="16" t="s">
        <v>179</v>
      </c>
      <c r="F11" s="27" t="str">
        <f t="shared" si="0"/>
        <v>3</v>
      </c>
      <c r="G11" s="2">
        <f t="shared" si="1"/>
        <v>3</v>
      </c>
      <c r="H11" s="3" t="str">
        <f t="shared" si="2"/>
        <v>Marketing</v>
      </c>
      <c r="I11" s="18" t="s">
        <v>141</v>
      </c>
    </row>
    <row r="12" spans="1:13" ht="16" x14ac:dyDescent="0.4">
      <c r="A12" s="15" t="s">
        <v>124</v>
      </c>
      <c r="B12" s="16" t="s">
        <v>112</v>
      </c>
      <c r="F12" s="27" t="str">
        <f t="shared" si="0"/>
        <v>3</v>
      </c>
      <c r="G12" s="2">
        <f t="shared" si="1"/>
        <v>3</v>
      </c>
      <c r="H12" s="3" t="str">
        <f t="shared" si="2"/>
        <v>Software developer</v>
      </c>
      <c r="I12" s="18" t="s">
        <v>135</v>
      </c>
    </row>
    <row r="13" spans="1:13" ht="16" x14ac:dyDescent="0.4">
      <c r="A13" s="15" t="s">
        <v>125</v>
      </c>
      <c r="B13" s="16" t="s">
        <v>112</v>
      </c>
      <c r="D13" t="s">
        <v>197</v>
      </c>
      <c r="F13" s="27" t="str">
        <f t="shared" si="0"/>
        <v>3</v>
      </c>
      <c r="G13" s="2">
        <f t="shared" si="1"/>
        <v>3</v>
      </c>
      <c r="H13" s="3" t="str">
        <f t="shared" si="2"/>
        <v>Marketing</v>
      </c>
      <c r="I13" s="18" t="s">
        <v>143</v>
      </c>
    </row>
    <row r="14" spans="1:13" ht="16" x14ac:dyDescent="0.4">
      <c r="A14" s="15" t="s">
        <v>126</v>
      </c>
      <c r="B14" s="16" t="s">
        <v>180</v>
      </c>
      <c r="F14" s="27" t="str">
        <f t="shared" si="0"/>
        <v>2</v>
      </c>
      <c r="G14" s="2">
        <f t="shared" si="1"/>
        <v>2</v>
      </c>
      <c r="H14" s="3" t="str">
        <f t="shared" si="2"/>
        <v>HR Specialist</v>
      </c>
      <c r="I14" s="18" t="s">
        <v>146</v>
      </c>
    </row>
    <row r="15" spans="1:13" ht="16" x14ac:dyDescent="0.4">
      <c r="A15" s="15" t="s">
        <v>127</v>
      </c>
      <c r="B15" s="16" t="s">
        <v>177</v>
      </c>
      <c r="F15" s="27" t="str">
        <f t="shared" si="0"/>
        <v>2</v>
      </c>
      <c r="G15" s="2">
        <f t="shared" si="1"/>
        <v>2</v>
      </c>
      <c r="H15" s="3" t="str">
        <f t="shared" si="2"/>
        <v>HR</v>
      </c>
      <c r="I15" s="18" t="s">
        <v>148</v>
      </c>
    </row>
    <row r="16" spans="1:13" ht="16" x14ac:dyDescent="0.4">
      <c r="A16" s="15" t="s">
        <v>128</v>
      </c>
      <c r="B16" s="16" t="s">
        <v>179</v>
      </c>
      <c r="F16" s="27" t="str">
        <f t="shared" si="0"/>
        <v>2</v>
      </c>
      <c r="G16" s="2">
        <f t="shared" si="1"/>
        <v>2</v>
      </c>
      <c r="H16" s="3" t="str">
        <f t="shared" si="2"/>
        <v>Marketing</v>
      </c>
      <c r="I16" s="18" t="s">
        <v>174</v>
      </c>
    </row>
    <row r="17" spans="1:9" ht="16" x14ac:dyDescent="0.4">
      <c r="A17" s="15" t="s">
        <v>129</v>
      </c>
      <c r="B17" s="16" t="s">
        <v>177</v>
      </c>
      <c r="F17" s="27" t="str">
        <f t="shared" si="0"/>
        <v>3</v>
      </c>
      <c r="G17" s="2">
        <f t="shared" si="1"/>
        <v>3</v>
      </c>
      <c r="H17" s="3" t="str">
        <f t="shared" si="2"/>
        <v>Accountant</v>
      </c>
      <c r="I17" s="18" t="s">
        <v>139</v>
      </c>
    </row>
    <row r="18" spans="1:9" ht="16" x14ac:dyDescent="0.4">
      <c r="A18" s="15" t="s">
        <v>130</v>
      </c>
      <c r="B18" s="16" t="s">
        <v>177</v>
      </c>
      <c r="F18" s="27" t="str">
        <f t="shared" si="0"/>
        <v>2</v>
      </c>
      <c r="G18" s="2">
        <f t="shared" si="1"/>
        <v>2</v>
      </c>
      <c r="H18" s="3" t="str">
        <f t="shared" si="2"/>
        <v>HR Specialist</v>
      </c>
      <c r="I18" s="18" t="s">
        <v>132</v>
      </c>
    </row>
    <row r="19" spans="1:9" ht="16" x14ac:dyDescent="0.4">
      <c r="A19" s="15" t="s">
        <v>131</v>
      </c>
      <c r="B19" s="16" t="s">
        <v>176</v>
      </c>
      <c r="F19" s="27" t="str">
        <f t="shared" si="0"/>
        <v>3</v>
      </c>
      <c r="G19" s="2">
        <f t="shared" si="1"/>
        <v>3</v>
      </c>
      <c r="H19" s="3" t="str">
        <f t="shared" si="2"/>
        <v>HR</v>
      </c>
      <c r="I19" s="18" t="s">
        <v>134</v>
      </c>
    </row>
    <row r="20" spans="1:9" ht="16" x14ac:dyDescent="0.4">
      <c r="A20" s="15" t="s">
        <v>132</v>
      </c>
      <c r="B20" s="16" t="s">
        <v>110</v>
      </c>
      <c r="D20" t="s">
        <v>197</v>
      </c>
      <c r="F20" s="27" t="str">
        <f t="shared" si="0"/>
        <v>2</v>
      </c>
      <c r="G20" s="2">
        <f t="shared" si="1"/>
        <v>2</v>
      </c>
      <c r="H20" s="3" t="str">
        <f t="shared" si="2"/>
        <v>Sales officer</v>
      </c>
      <c r="I20" s="18" t="s">
        <v>145</v>
      </c>
    </row>
    <row r="21" spans="1:9" ht="16" x14ac:dyDescent="0.4">
      <c r="A21" s="15" t="s">
        <v>133</v>
      </c>
      <c r="B21" s="16" t="s">
        <v>176</v>
      </c>
      <c r="F21" s="27" t="str">
        <f t="shared" si="0"/>
        <v>3</v>
      </c>
      <c r="G21" s="2">
        <f t="shared" si="1"/>
        <v>3</v>
      </c>
      <c r="H21" s="3" t="str">
        <f t="shared" si="2"/>
        <v>Sales officer</v>
      </c>
      <c r="I21" s="18" t="s">
        <v>155</v>
      </c>
    </row>
    <row r="22" spans="1:9" ht="16" x14ac:dyDescent="0.4">
      <c r="A22" s="15" t="s">
        <v>134</v>
      </c>
      <c r="B22" s="16" t="s">
        <v>175</v>
      </c>
      <c r="F22" s="27" t="str">
        <f t="shared" si="0"/>
        <v>2</v>
      </c>
      <c r="G22" s="2">
        <f t="shared" si="1"/>
        <v>2</v>
      </c>
      <c r="H22" s="3" t="str">
        <f t="shared" si="2"/>
        <v>Accountant</v>
      </c>
      <c r="I22" s="18" t="s">
        <v>138</v>
      </c>
    </row>
    <row r="23" spans="1:9" ht="16" x14ac:dyDescent="0.4">
      <c r="A23" s="15" t="s">
        <v>135</v>
      </c>
      <c r="B23" s="16" t="s">
        <v>111</v>
      </c>
      <c r="F23" s="27" t="str">
        <f t="shared" si="0"/>
        <v>2</v>
      </c>
      <c r="G23" s="2">
        <f t="shared" si="1"/>
        <v>2</v>
      </c>
      <c r="H23" s="3" t="str">
        <f t="shared" si="2"/>
        <v>HR</v>
      </c>
      <c r="I23" s="18" t="s">
        <v>156</v>
      </c>
    </row>
    <row r="24" spans="1:9" ht="16" x14ac:dyDescent="0.4">
      <c r="A24" s="15" t="s">
        <v>136</v>
      </c>
      <c r="B24" s="16" t="s">
        <v>179</v>
      </c>
      <c r="F24" s="27" t="str">
        <f t="shared" si="0"/>
        <v>3</v>
      </c>
      <c r="G24" s="2">
        <f t="shared" si="1"/>
        <v>3</v>
      </c>
      <c r="H24" s="3" t="str">
        <f t="shared" si="2"/>
        <v>HR</v>
      </c>
      <c r="I24" s="18" t="s">
        <v>113</v>
      </c>
    </row>
    <row r="25" spans="1:9" ht="16" x14ac:dyDescent="0.4">
      <c r="A25" s="15" t="s">
        <v>137</v>
      </c>
      <c r="B25" s="16" t="s">
        <v>179</v>
      </c>
      <c r="F25" s="27" t="str">
        <f t="shared" si="0"/>
        <v>3</v>
      </c>
      <c r="G25" s="2">
        <f t="shared" si="1"/>
        <v>3</v>
      </c>
      <c r="H25" s="3" t="str">
        <f t="shared" si="2"/>
        <v>HR</v>
      </c>
      <c r="I25" s="18" t="s">
        <v>120</v>
      </c>
    </row>
    <row r="26" spans="1:9" ht="16" x14ac:dyDescent="0.4">
      <c r="A26" s="15" t="s">
        <v>138</v>
      </c>
      <c r="B26" s="16" t="s">
        <v>112</v>
      </c>
      <c r="F26" s="27" t="str">
        <f t="shared" si="0"/>
        <v>2</v>
      </c>
      <c r="G26" s="2">
        <f t="shared" si="1"/>
        <v>2</v>
      </c>
      <c r="H26" s="3" t="str">
        <f>VLOOKUP(I26,A:B,2,0)</f>
        <v>Web developer</v>
      </c>
      <c r="I26" s="18" t="s">
        <v>122</v>
      </c>
    </row>
    <row r="27" spans="1:9" ht="16" x14ac:dyDescent="0.4">
      <c r="A27" s="15" t="s">
        <v>139</v>
      </c>
      <c r="B27" s="16" t="s">
        <v>112</v>
      </c>
      <c r="F27" s="27" t="str">
        <f t="shared" si="0"/>
        <v>3</v>
      </c>
      <c r="G27" s="2">
        <f t="shared" si="1"/>
        <v>3</v>
      </c>
      <c r="H27" s="3" t="str">
        <f t="shared" si="2"/>
        <v>Software developer</v>
      </c>
      <c r="I27" s="18" t="s">
        <v>135</v>
      </c>
    </row>
    <row r="28" spans="1:9" ht="16" x14ac:dyDescent="0.4">
      <c r="A28" s="15" t="s">
        <v>140</v>
      </c>
      <c r="B28" s="16" t="s">
        <v>180</v>
      </c>
    </row>
    <row r="29" spans="1:9" ht="16" x14ac:dyDescent="0.4">
      <c r="A29" s="15" t="s">
        <v>141</v>
      </c>
      <c r="B29" s="16" t="s">
        <v>177</v>
      </c>
    </row>
    <row r="30" spans="1:9" ht="16" x14ac:dyDescent="0.4">
      <c r="A30" s="15" t="s">
        <v>142</v>
      </c>
      <c r="B30" s="16" t="s">
        <v>179</v>
      </c>
    </row>
    <row r="31" spans="1:9" ht="16" x14ac:dyDescent="0.4">
      <c r="A31" s="15" t="s">
        <v>143</v>
      </c>
      <c r="B31" s="16" t="s">
        <v>177</v>
      </c>
    </row>
    <row r="32" spans="1:9" ht="16" x14ac:dyDescent="0.4">
      <c r="A32" s="15" t="s">
        <v>144</v>
      </c>
      <c r="B32" s="16" t="s">
        <v>177</v>
      </c>
    </row>
    <row r="33" spans="1:2" ht="16" x14ac:dyDescent="0.4">
      <c r="A33" s="15" t="s">
        <v>145</v>
      </c>
      <c r="B33" s="16" t="s">
        <v>176</v>
      </c>
    </row>
    <row r="34" spans="1:2" ht="16" x14ac:dyDescent="0.4">
      <c r="A34" s="15" t="s">
        <v>146</v>
      </c>
      <c r="B34" s="16" t="s">
        <v>110</v>
      </c>
    </row>
    <row r="35" spans="1:2" ht="16" x14ac:dyDescent="0.4">
      <c r="A35" s="15" t="s">
        <v>147</v>
      </c>
      <c r="B35" s="16" t="s">
        <v>176</v>
      </c>
    </row>
    <row r="36" spans="1:2" ht="16" x14ac:dyDescent="0.4">
      <c r="A36" s="15" t="s">
        <v>148</v>
      </c>
      <c r="B36" s="16" t="s">
        <v>175</v>
      </c>
    </row>
    <row r="37" spans="1:2" ht="16" x14ac:dyDescent="0.4">
      <c r="A37" s="15" t="s">
        <v>149</v>
      </c>
      <c r="B37" s="16" t="s">
        <v>111</v>
      </c>
    </row>
    <row r="38" spans="1:2" ht="16" x14ac:dyDescent="0.4">
      <c r="A38" s="15" t="s">
        <v>150</v>
      </c>
      <c r="B38" s="16" t="s">
        <v>179</v>
      </c>
    </row>
    <row r="39" spans="1:2" ht="16" x14ac:dyDescent="0.4">
      <c r="A39" s="15" t="s">
        <v>151</v>
      </c>
      <c r="B39" s="16" t="s">
        <v>179</v>
      </c>
    </row>
    <row r="40" spans="1:2" ht="16" x14ac:dyDescent="0.4">
      <c r="A40" s="15" t="s">
        <v>152</v>
      </c>
      <c r="B40" s="16" t="s">
        <v>177</v>
      </c>
    </row>
    <row r="41" spans="1:2" ht="16" x14ac:dyDescent="0.4">
      <c r="A41" s="15" t="s">
        <v>153</v>
      </c>
      <c r="B41" s="16" t="s">
        <v>176</v>
      </c>
    </row>
    <row r="42" spans="1:2" ht="16" x14ac:dyDescent="0.4">
      <c r="A42" s="15" t="s">
        <v>154</v>
      </c>
      <c r="B42" s="16" t="s">
        <v>110</v>
      </c>
    </row>
    <row r="43" spans="1:2" ht="16" x14ac:dyDescent="0.4">
      <c r="A43" s="15" t="s">
        <v>155</v>
      </c>
      <c r="B43" s="16" t="s">
        <v>176</v>
      </c>
    </row>
    <row r="44" spans="1:2" ht="16" x14ac:dyDescent="0.4">
      <c r="A44" s="15" t="s">
        <v>156</v>
      </c>
      <c r="B44" s="16" t="s">
        <v>175</v>
      </c>
    </row>
    <row r="45" spans="1:2" ht="16" x14ac:dyDescent="0.4">
      <c r="A45" s="15" t="s">
        <v>157</v>
      </c>
      <c r="B45" s="16" t="s">
        <v>111</v>
      </c>
    </row>
    <row r="46" spans="1:2" ht="16" x14ac:dyDescent="0.4">
      <c r="A46" s="15" t="s">
        <v>158</v>
      </c>
      <c r="B46" s="16" t="s">
        <v>179</v>
      </c>
    </row>
    <row r="47" spans="1:2" ht="16" x14ac:dyDescent="0.4">
      <c r="A47" s="15" t="s">
        <v>159</v>
      </c>
      <c r="B47" s="16" t="s">
        <v>179</v>
      </c>
    </row>
    <row r="48" spans="1:2" ht="16" x14ac:dyDescent="0.4">
      <c r="A48" s="15" t="s">
        <v>160</v>
      </c>
      <c r="B48" s="16" t="s">
        <v>112</v>
      </c>
    </row>
    <row r="49" spans="1:2" ht="16" x14ac:dyDescent="0.4">
      <c r="A49" s="15" t="s">
        <v>161</v>
      </c>
      <c r="B49" s="16" t="s">
        <v>112</v>
      </c>
    </row>
    <row r="50" spans="1:2" ht="16" x14ac:dyDescent="0.4">
      <c r="A50" s="15" t="s">
        <v>162</v>
      </c>
      <c r="B50" s="16" t="s">
        <v>180</v>
      </c>
    </row>
    <row r="51" spans="1:2" ht="16" x14ac:dyDescent="0.4">
      <c r="A51" s="15" t="s">
        <v>163</v>
      </c>
      <c r="B51" s="16" t="s">
        <v>177</v>
      </c>
    </row>
    <row r="52" spans="1:2" ht="16" x14ac:dyDescent="0.4">
      <c r="A52" s="15" t="s">
        <v>164</v>
      </c>
      <c r="B52" s="16" t="s">
        <v>176</v>
      </c>
    </row>
    <row r="53" spans="1:2" ht="16" x14ac:dyDescent="0.4">
      <c r="A53" s="15" t="s">
        <v>165</v>
      </c>
      <c r="B53" s="16" t="s">
        <v>110</v>
      </c>
    </row>
    <row r="54" spans="1:2" ht="16" x14ac:dyDescent="0.4">
      <c r="A54" s="15" t="s">
        <v>166</v>
      </c>
      <c r="B54" s="16" t="s">
        <v>176</v>
      </c>
    </row>
    <row r="55" spans="1:2" ht="16" x14ac:dyDescent="0.4">
      <c r="A55" s="15" t="s">
        <v>167</v>
      </c>
      <c r="B55" s="16" t="s">
        <v>175</v>
      </c>
    </row>
    <row r="56" spans="1:2" ht="16" x14ac:dyDescent="0.4">
      <c r="A56" s="15" t="s">
        <v>168</v>
      </c>
      <c r="B56" s="16" t="s">
        <v>111</v>
      </c>
    </row>
    <row r="57" spans="1:2" ht="16" x14ac:dyDescent="0.4">
      <c r="A57" s="15" t="s">
        <v>169</v>
      </c>
      <c r="B57" s="16" t="s">
        <v>179</v>
      </c>
    </row>
    <row r="58" spans="1:2" ht="16" x14ac:dyDescent="0.4">
      <c r="A58" s="15" t="s">
        <v>170</v>
      </c>
      <c r="B58" s="16" t="s">
        <v>179</v>
      </c>
    </row>
    <row r="59" spans="1:2" ht="16" x14ac:dyDescent="0.4">
      <c r="A59" s="15" t="s">
        <v>171</v>
      </c>
      <c r="B59" s="16" t="s">
        <v>112</v>
      </c>
    </row>
    <row r="60" spans="1:2" ht="16" x14ac:dyDescent="0.4">
      <c r="A60" s="15" t="s">
        <v>172</v>
      </c>
      <c r="B60" s="16" t="s">
        <v>112</v>
      </c>
    </row>
    <row r="61" spans="1:2" ht="16" x14ac:dyDescent="0.4">
      <c r="A61" s="15" t="s">
        <v>173</v>
      </c>
      <c r="B61" s="16" t="s">
        <v>180</v>
      </c>
    </row>
    <row r="62" spans="1:2" ht="16" x14ac:dyDescent="0.4">
      <c r="A62" s="15" t="s">
        <v>174</v>
      </c>
      <c r="B62" s="16" t="s">
        <v>177</v>
      </c>
    </row>
  </sheetData>
  <mergeCells count="2">
    <mergeCell ref="F2:M2"/>
    <mergeCell ref="F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Logic Functions</vt:lpstr>
      <vt:lpstr>Increase salary</vt:lpstr>
      <vt:lpstr>Text Functions</vt:lpstr>
      <vt:lpstr>Math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Nasr Ibrahim El Desouky Mohammed</dc:creator>
  <cp:lastModifiedBy>Menna AbdelNasser Ramadan Elnagar</cp:lastModifiedBy>
  <dcterms:created xsi:type="dcterms:W3CDTF">2024-03-17T10:30:34Z</dcterms:created>
  <dcterms:modified xsi:type="dcterms:W3CDTF">2026-08-20T21:45:42Z</dcterms:modified>
</cp:coreProperties>
</file>