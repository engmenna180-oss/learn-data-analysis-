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6"/>
  <workbookPr/>
  <mc:AlternateContent xmlns:mc="http://schemas.openxmlformats.org/markup-compatibility/2006">
    <mc:Choice Requires="x15">
      <x15ac:absPath xmlns:x15ac="http://schemas.microsoft.com/office/spreadsheetml/2010/11/ac" url="C:\Users\Pc\Downloads\depi\data\"/>
    </mc:Choice>
  </mc:AlternateContent>
  <xr:revisionPtr revIDLastSave="0" documentId="13_ncr:1_{AC5129C7-61EA-4101-BDB3-B2DA19186381}" xr6:coauthVersionLast="47" xr6:coauthVersionMax="47" xr10:uidLastSave="{00000000-0000-0000-0000-000000000000}"/>
  <bookViews>
    <workbookView xWindow="-110" yWindow="-110" windowWidth="19420" windowHeight="11020" tabRatio="476" firstSheet="1" activeTab="4" xr2:uid="{00000000-000D-0000-FFFF-FFFF00000000}"/>
  </bookViews>
  <sheets>
    <sheet name="Vlookup" sheetId="1" r:id="rId1"/>
    <sheet name="Hlookup" sheetId="2" r:id="rId2"/>
    <sheet name="Index" sheetId="5" r:id="rId3"/>
    <sheet name="Match" sheetId="6" r:id="rId4"/>
    <sheet name="Index_Match" sheetId="7" r:id="rId5"/>
  </sheets>
  <definedNames>
    <definedName name="Departement">Vlookup!$E$41:$E$47</definedName>
    <definedName name="First">Vlookup!$B$41:$B$47</definedName>
    <definedName name="Full_name">Vlookup!$D$41:$D$47</definedName>
    <definedName name="ID">Vlookup!$A$41:$A$47</definedName>
    <definedName name="Last">Vlookup!$C$41:$C$47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7" l="1"/>
  <c r="C7" i="6"/>
  <c r="C8" i="6"/>
  <c r="C6" i="6"/>
  <c r="D10" i="6"/>
  <c r="D8" i="6"/>
  <c r="D5" i="6"/>
  <c r="C14" i="5"/>
  <c r="B14" i="5"/>
  <c r="C12" i="5"/>
  <c r="C10" i="5"/>
  <c r="C18" i="5"/>
  <c r="C4" i="2"/>
  <c r="C5" i="2"/>
  <c r="C6" i="2"/>
  <c r="C3" i="2"/>
  <c r="B4" i="2"/>
  <c r="B5" i="2"/>
  <c r="B6" i="2"/>
  <c r="B3" i="2"/>
  <c r="F41" i="1"/>
  <c r="F18" i="1"/>
  <c r="H61" i="1"/>
  <c r="H58" i="1"/>
  <c r="H55" i="1"/>
  <c r="F42" i="1"/>
  <c r="F43" i="1"/>
  <c r="F44" i="1"/>
  <c r="F45" i="1"/>
  <c r="F46" i="1"/>
  <c r="F47" i="1"/>
  <c r="E34" i="1"/>
  <c r="E30" i="1"/>
  <c r="E29" i="1"/>
  <c r="E31" i="1"/>
  <c r="E32" i="1"/>
  <c r="E33" i="1"/>
  <c r="E35" i="1"/>
  <c r="E36" i="1"/>
  <c r="E28" i="1"/>
  <c r="E7" i="1"/>
  <c r="B18" i="5"/>
  <c r="B12" i="5"/>
  <c r="B10" i="5"/>
  <c r="B8" i="7" l="1"/>
  <c r="B9" i="7"/>
  <c r="C45" i="1"/>
  <c r="C47" i="1" l="1"/>
  <c r="B47" i="1"/>
  <c r="C46" i="1"/>
  <c r="B46" i="1"/>
  <c r="B45" i="1"/>
  <c r="C44" i="1"/>
  <c r="B44" i="1"/>
  <c r="C43" i="1"/>
  <c r="B43" i="1"/>
  <c r="C42" i="1"/>
  <c r="B42" i="1"/>
  <c r="C41" i="1"/>
  <c r="B41" i="1"/>
</calcChain>
</file>

<file path=xl/sharedStrings.xml><?xml version="1.0" encoding="utf-8"?>
<sst xmlns="http://schemas.openxmlformats.org/spreadsheetml/2006/main" count="186" uniqueCount="141">
  <si>
    <t>VLookup Function</t>
  </si>
  <si>
    <t>VLOOKUP only looks right</t>
  </si>
  <si>
    <t>VLOOKUP is an Excel function to lookup and retrieve data from a specific column in table. VLOOKUP supports approximate and exact matching, and wildcards (* ?) for partial matches. The "V" stands for "vertical". Lookup values must appear in the first column of the table, with lookup columns to the right.</t>
  </si>
  <si>
    <t>VLOOKUP retrieves data based on column number</t>
  </si>
  <si>
    <t>VLOOKUP has two matching modes, exact and approximate</t>
  </si>
  <si>
    <r>
      <t>Note: your data must be sorted in ascending order by lookup value when you use</t>
    </r>
    <r>
      <rPr>
        <i/>
        <sz val="11"/>
        <color theme="5" tint="-0.249977111117893"/>
        <rFont val="Calibri"/>
        <family val="2"/>
        <scheme val="minor"/>
      </rPr>
      <t xml:space="preserve"> approximate match</t>
    </r>
    <r>
      <rPr>
        <i/>
        <sz val="11"/>
        <color theme="1"/>
        <rFont val="Calibri"/>
        <family val="2"/>
        <scheme val="minor"/>
      </rPr>
      <t xml:space="preserve"> mode with VLOOKUP.</t>
    </r>
  </si>
  <si>
    <t>Item Description</t>
  </si>
  <si>
    <t>Cost ($)</t>
  </si>
  <si>
    <t>Current Item:</t>
  </si>
  <si>
    <t>Current Item Cost ($)</t>
  </si>
  <si>
    <t>Tinned Tomatoes</t>
  </si>
  <si>
    <t>Cornflakes</t>
  </si>
  <si>
    <t>Tinned Tuna</t>
  </si>
  <si>
    <t>Shortcake Biscuits</t>
  </si>
  <si>
    <t>Toothpaste</t>
  </si>
  <si>
    <t>Tinned Baked Beans</t>
  </si>
  <si>
    <t>White Sliced Bread</t>
  </si>
  <si>
    <t>Grade</t>
  </si>
  <si>
    <t>Name</t>
  </si>
  <si>
    <t>Score</t>
  </si>
  <si>
    <t>Anne</t>
  </si>
  <si>
    <t>E</t>
  </si>
  <si>
    <t>D</t>
  </si>
  <si>
    <t>C</t>
  </si>
  <si>
    <t>B</t>
  </si>
  <si>
    <t>A</t>
  </si>
  <si>
    <t>VLOOKUP can classify or categorize data</t>
  </si>
  <si>
    <t>Student
ID</t>
  </si>
  <si>
    <t>Student Name</t>
  </si>
  <si>
    <t>Term A</t>
  </si>
  <si>
    <t>Term B</t>
  </si>
  <si>
    <t>Grade Scale</t>
  </si>
  <si>
    <t>Ahmed Mohamed</t>
  </si>
  <si>
    <t>Fail</t>
  </si>
  <si>
    <t>Walaa Mostafa</t>
  </si>
  <si>
    <t>Pass</t>
  </si>
  <si>
    <t>Rania Osama</t>
  </si>
  <si>
    <t>Good</t>
  </si>
  <si>
    <t>Ahmed Ramzy</t>
  </si>
  <si>
    <t>V Good</t>
  </si>
  <si>
    <t>Latif Mahmoud</t>
  </si>
  <si>
    <t>Excellent</t>
  </si>
  <si>
    <t>Asmaa Hady</t>
  </si>
  <si>
    <t>Diaa Mansour</t>
  </si>
  <si>
    <t>Khaled Abdalla</t>
  </si>
  <si>
    <t>Mona Eltobgy</t>
  </si>
  <si>
    <t>ID</t>
  </si>
  <si>
    <t>First</t>
  </si>
  <si>
    <t>Last</t>
  </si>
  <si>
    <t>Full name</t>
  </si>
  <si>
    <t xml:space="preserve">Departement </t>
  </si>
  <si>
    <t>Group</t>
  </si>
  <si>
    <t>Departement</t>
  </si>
  <si>
    <t>Ayman Raafat</t>
  </si>
  <si>
    <t>Training</t>
  </si>
  <si>
    <t>Sales</t>
  </si>
  <si>
    <t>Lamia Saher</t>
  </si>
  <si>
    <t>Publishing</t>
  </si>
  <si>
    <t>Randa Elsayed</t>
  </si>
  <si>
    <t>Marketing</t>
  </si>
  <si>
    <t>Mona Fares</t>
  </si>
  <si>
    <t>Diaa Elmasry</t>
  </si>
  <si>
    <t>Tarek Ehab</t>
  </si>
  <si>
    <t xml:space="preserve">First Name </t>
  </si>
  <si>
    <t xml:space="preserve">Last name </t>
  </si>
  <si>
    <t xml:space="preserve">First name </t>
  </si>
  <si>
    <t>Title</t>
  </si>
  <si>
    <t>Birth date</t>
  </si>
  <si>
    <t>Davis</t>
  </si>
  <si>
    <t>Sara</t>
  </si>
  <si>
    <t>Sales Rep.</t>
  </si>
  <si>
    <t>Fontana</t>
  </si>
  <si>
    <t>Olivier</t>
  </si>
  <si>
    <t>V.P. of Sales</t>
  </si>
  <si>
    <t>Last Name</t>
  </si>
  <si>
    <t>Leal</t>
  </si>
  <si>
    <t>Karina</t>
  </si>
  <si>
    <t>Patten</t>
  </si>
  <si>
    <t>Michael</t>
  </si>
  <si>
    <t>Burke</t>
  </si>
  <si>
    <t>Brian</t>
  </si>
  <si>
    <t>Sales Mgr.</t>
  </si>
  <si>
    <t>Sousa</t>
  </si>
  <si>
    <t>Luis</t>
  </si>
  <si>
    <t>Ahmed</t>
  </si>
  <si>
    <t>Mohamed</t>
  </si>
  <si>
    <t>Ali</t>
  </si>
  <si>
    <t>Karim</t>
  </si>
  <si>
    <t>Hany</t>
  </si>
  <si>
    <t>Nada</t>
  </si>
  <si>
    <t>Product</t>
  </si>
  <si>
    <t>Brand</t>
  </si>
  <si>
    <t>Dell</t>
  </si>
  <si>
    <t>Toshiba</t>
  </si>
  <si>
    <t>HP</t>
  </si>
  <si>
    <t>Lenovo</t>
  </si>
  <si>
    <t>Microsoft</t>
  </si>
  <si>
    <t>Computer</t>
  </si>
  <si>
    <t>Laptop</t>
  </si>
  <si>
    <t>Printer</t>
  </si>
  <si>
    <t>Mouse</t>
  </si>
  <si>
    <t>Keyboard</t>
  </si>
  <si>
    <t>HLookup Function</t>
  </si>
  <si>
    <t>INDEX Function</t>
  </si>
  <si>
    <t>Match is not case sensitive</t>
  </si>
  <si>
    <r>
      <t>match_type</t>
    </r>
    <r>
      <rPr>
        <sz val="12"/>
        <color rgb="FF000000"/>
        <rFont val="Arial"/>
        <family val="2"/>
      </rPr>
      <t> - [optional] 1 = exact or next smallest (default), 0 = exact match, -1 = exact or next largest.</t>
    </r>
  </si>
  <si>
    <t>Jan</t>
  </si>
  <si>
    <t>Feb</t>
  </si>
  <si>
    <t>Mar</t>
  </si>
  <si>
    <t>Noha</t>
  </si>
  <si>
    <t>Mai</t>
  </si>
  <si>
    <t>Saeed</t>
  </si>
  <si>
    <t xml:space="preserve">Index / Match </t>
  </si>
  <si>
    <t>INDEX needs numeric positions.</t>
  </si>
  <si>
    <t>MATCH finds those positions.</t>
  </si>
  <si>
    <t>MATCH is nested inside INDEX.</t>
  </si>
  <si>
    <t>Month</t>
  </si>
  <si>
    <t xml:space="preserve">ID </t>
  </si>
  <si>
    <t xml:space="preserve">Name </t>
  </si>
  <si>
    <t xml:space="preserve">Department </t>
  </si>
  <si>
    <t>Salary</t>
  </si>
  <si>
    <t>John</t>
  </si>
  <si>
    <t>Sarah</t>
  </si>
  <si>
    <t>Mike</t>
  </si>
  <si>
    <t>IT</t>
  </si>
  <si>
    <t>Returns a value from a specific position.</t>
  </si>
  <si>
    <t>Age</t>
  </si>
  <si>
    <t>City</t>
  </si>
  <si>
    <t>NYC</t>
  </si>
  <si>
    <t>LA</t>
  </si>
  <si>
    <t>Chicago</t>
  </si>
  <si>
    <t>Result: "Sarah" (row 2, column 1)</t>
  </si>
  <si>
    <t>Result: "Chicago" (row 3, column 3)</t>
  </si>
  <si>
    <t>Result: "Sarah" (single column, row 2)</t>
  </si>
  <si>
    <t>MATCH Function</t>
  </si>
  <si>
    <t>Returns the position of a value in a range.</t>
  </si>
  <si>
    <t>Position of the word Mike</t>
  </si>
  <si>
    <t>Result: "Mike"</t>
  </si>
  <si>
    <t xml:space="preserve"> =INDEX(B3:B6, MATCH("IT",D3:D6, 0))</t>
  </si>
  <si>
    <t>Result: 103  (can look left!)</t>
  </si>
  <si>
    <t xml:space="preserve"> =INDEX(C3:C6, MATCH(103, B3:B6, 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</si>
</sst>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33CC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5" tint="-0.249977111117893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1" fillId="0" borderId="0"/>
    <xf numFmtId="44" fontId="11" fillId="0" borderId="0" applyFont="0" applyFill="0" applyBorder="0" applyAlignment="0" applyProtection="0"/>
  </cellStyleXfs>
  <cellXfs count="67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4" fillId="0" borderId="0" xfId="0" applyFont="1"/>
    <xf numFmtId="0" fontId="0" fillId="0" borderId="0" xfId="0" applyAlignment="1">
      <alignment horizontal="center" vertical="top" wrapText="1"/>
    </xf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8" fontId="0" fillId="0" borderId="1" xfId="0" applyNumberFormat="1" applyBorder="1" applyAlignment="1">
      <alignment vertical="center" wrapText="1"/>
    </xf>
    <xf numFmtId="8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0" fillId="0" borderId="1" xfId="0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/>
    </xf>
    <xf numFmtId="0" fontId="1" fillId="0" borderId="1" xfId="0" applyFont="1" applyBorder="1"/>
    <xf numFmtId="0" fontId="12" fillId="0" borderId="0" xfId="1" applyFont="1"/>
    <xf numFmtId="0" fontId="11" fillId="0" borderId="0" xfId="1"/>
    <xf numFmtId="0" fontId="11" fillId="5" borderId="1" xfId="1" applyFill="1" applyBorder="1"/>
    <xf numFmtId="0" fontId="11" fillId="0" borderId="1" xfId="1" applyBorder="1"/>
    <xf numFmtId="0" fontId="11" fillId="0" borderId="0" xfId="1" applyAlignment="1">
      <alignment horizontal="left"/>
    </xf>
    <xf numFmtId="0" fontId="12" fillId="0" borderId="0" xfId="0" applyFont="1" applyAlignment="1">
      <alignment horizontal="left" vertical="center"/>
    </xf>
    <xf numFmtId="0" fontId="0" fillId="6" borderId="5" xfId="0" applyFill="1" applyBorder="1" applyAlignment="1">
      <alignment horizontal="left"/>
    </xf>
    <xf numFmtId="165" fontId="0" fillId="0" borderId="5" xfId="2" applyNumberFormat="1" applyFont="1" applyFill="1" applyBorder="1"/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164" fontId="0" fillId="0" borderId="4" xfId="0" applyNumberFormat="1" applyBorder="1"/>
    <xf numFmtId="0" fontId="0" fillId="0" borderId="4" xfId="0" applyBorder="1"/>
    <xf numFmtId="0" fontId="4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/>
    <xf numFmtId="0" fontId="11" fillId="0" borderId="1" xfId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0" fontId="0" fillId="5" borderId="4" xfId="0" applyFill="1" applyBorder="1" applyAlignment="1">
      <alignment horizontal="left"/>
    </xf>
    <xf numFmtId="164" fontId="0" fillId="0" borderId="4" xfId="0" applyNumberFormat="1" applyBorder="1" applyAlignment="1">
      <alignment horizontal="left"/>
    </xf>
    <xf numFmtId="0" fontId="0" fillId="0" borderId="6" xfId="0" applyBorder="1"/>
    <xf numFmtId="0" fontId="11" fillId="4" borderId="1" xfId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top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</cellXfs>
  <cellStyles count="3">
    <cellStyle name="Currency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opLeftCell="A3" zoomScale="40" zoomScaleNormal="130" workbookViewId="0">
      <selection activeCell="F41" sqref="F41"/>
    </sheetView>
  </sheetViews>
  <sheetFormatPr defaultRowHeight="14.5" x14ac:dyDescent="0.35"/>
  <cols>
    <col min="1" max="1" width="16.54296875" customWidth="1"/>
    <col min="2" max="2" width="17" bestFit="1" customWidth="1"/>
    <col min="3" max="3" width="26.7265625" customWidth="1"/>
    <col min="4" max="4" width="25.26953125" bestFit="1" customWidth="1"/>
    <col min="5" max="5" width="27.453125" customWidth="1"/>
    <col min="6" max="6" width="17.1796875" customWidth="1"/>
    <col min="7" max="7" width="14.26953125" customWidth="1"/>
    <col min="8" max="8" width="18.453125" bestFit="1" customWidth="1"/>
    <col min="9" max="9" width="13.26953125" customWidth="1"/>
    <col min="10" max="10" width="22.81640625" bestFit="1" customWidth="1"/>
  </cols>
  <sheetData>
    <row r="1" spans="1:9" ht="27" customHeight="1" x14ac:dyDescent="0.35">
      <c r="A1" s="63" t="s">
        <v>0</v>
      </c>
      <c r="B1" s="63"/>
      <c r="C1" s="63"/>
      <c r="D1" s="63"/>
      <c r="E1" s="63"/>
      <c r="G1" s="1" t="s">
        <v>1</v>
      </c>
    </row>
    <row r="2" spans="1:9" ht="27" customHeight="1" x14ac:dyDescent="0.35">
      <c r="A2" s="64" t="s">
        <v>2</v>
      </c>
      <c r="B2" s="64"/>
      <c r="C2" s="64"/>
      <c r="D2" s="64"/>
      <c r="E2" s="64"/>
      <c r="G2" s="1" t="s">
        <v>3</v>
      </c>
    </row>
    <row r="3" spans="1:9" ht="27" customHeight="1" x14ac:dyDescent="0.35">
      <c r="A3" s="64"/>
      <c r="B3" s="64"/>
      <c r="C3" s="64"/>
      <c r="D3" s="64"/>
      <c r="E3" s="64"/>
      <c r="G3" s="1" t="s">
        <v>4</v>
      </c>
    </row>
    <row r="4" spans="1:9" ht="43.5" customHeight="1" x14ac:dyDescent="0.35">
      <c r="A4" s="2"/>
      <c r="B4" s="2"/>
      <c r="C4" s="2"/>
      <c r="D4" s="2"/>
      <c r="E4" s="2"/>
      <c r="G4" s="49" t="s">
        <v>5</v>
      </c>
    </row>
    <row r="5" spans="1:9" x14ac:dyDescent="0.35">
      <c r="A5" s="4"/>
      <c r="B5" s="4"/>
      <c r="C5" s="4"/>
      <c r="D5" s="4"/>
      <c r="E5" s="4"/>
    </row>
    <row r="6" spans="1:9" x14ac:dyDescent="0.35">
      <c r="A6" s="5" t="s">
        <v>6</v>
      </c>
      <c r="B6" s="5" t="s">
        <v>7</v>
      </c>
      <c r="D6" s="5" t="s">
        <v>8</v>
      </c>
      <c r="E6" s="31" t="s">
        <v>9</v>
      </c>
    </row>
    <row r="7" spans="1:9" x14ac:dyDescent="0.35">
      <c r="A7" s="6" t="s">
        <v>10</v>
      </c>
      <c r="B7" s="7">
        <v>0.9</v>
      </c>
      <c r="D7" s="6" t="s">
        <v>11</v>
      </c>
      <c r="E7" s="8">
        <f>VLOOKUP(D7,A6:B13,2,0)</f>
        <v>3.5</v>
      </c>
    </row>
    <row r="8" spans="1:9" x14ac:dyDescent="0.35">
      <c r="A8" s="6" t="s">
        <v>12</v>
      </c>
      <c r="B8" s="7">
        <v>1.5</v>
      </c>
      <c r="C8" s="9"/>
    </row>
    <row r="9" spans="1:9" x14ac:dyDescent="0.35">
      <c r="A9" s="6" t="s">
        <v>11</v>
      </c>
      <c r="B9" s="7">
        <v>3.5</v>
      </c>
      <c r="C9" s="9"/>
      <c r="I9" s="3"/>
    </row>
    <row r="10" spans="1:9" x14ac:dyDescent="0.35">
      <c r="A10" s="6" t="s">
        <v>13</v>
      </c>
      <c r="B10" s="7">
        <v>1</v>
      </c>
      <c r="C10" s="9"/>
      <c r="I10" s="3"/>
    </row>
    <row r="11" spans="1:9" x14ac:dyDescent="0.35">
      <c r="A11" s="6" t="s">
        <v>14</v>
      </c>
      <c r="B11" s="7">
        <v>4.0999999999999996</v>
      </c>
      <c r="C11" s="9"/>
      <c r="I11" s="3"/>
    </row>
    <row r="12" spans="1:9" ht="29" x14ac:dyDescent="0.35">
      <c r="A12" s="6" t="s">
        <v>15</v>
      </c>
      <c r="B12" s="7">
        <v>0.99</v>
      </c>
      <c r="C12" s="9"/>
      <c r="I12" s="3"/>
    </row>
    <row r="13" spans="1:9" x14ac:dyDescent="0.35">
      <c r="A13" s="6" t="s">
        <v>16</v>
      </c>
      <c r="B13" s="7">
        <v>0.8</v>
      </c>
      <c r="I13" s="3"/>
    </row>
    <row r="14" spans="1:9" ht="14.25" customHeight="1" x14ac:dyDescent="0.35">
      <c r="I14" s="3"/>
    </row>
    <row r="17" spans="1:8" x14ac:dyDescent="0.35">
      <c r="A17" s="56" t="s">
        <v>19</v>
      </c>
      <c r="B17" s="5" t="s">
        <v>17</v>
      </c>
      <c r="D17" s="11" t="s">
        <v>18</v>
      </c>
      <c r="E17" s="11" t="s">
        <v>19</v>
      </c>
      <c r="F17" s="32" t="s">
        <v>17</v>
      </c>
      <c r="H17" s="9"/>
    </row>
    <row r="18" spans="1:8" x14ac:dyDescent="0.35">
      <c r="A18" s="57">
        <v>0</v>
      </c>
      <c r="B18" s="12" t="s">
        <v>21</v>
      </c>
      <c r="D18" s="10" t="s">
        <v>20</v>
      </c>
      <c r="E18" s="12">
        <v>0.75</v>
      </c>
      <c r="F18" s="10" t="str">
        <f>VLOOKUP(E18,A17:B22,2,1)</f>
        <v>C</v>
      </c>
      <c r="H18" s="9"/>
    </row>
    <row r="19" spans="1:8" x14ac:dyDescent="0.35">
      <c r="A19" s="57">
        <v>0.6</v>
      </c>
      <c r="B19" s="12" t="s">
        <v>22</v>
      </c>
      <c r="D19" s="9"/>
      <c r="E19" s="9"/>
      <c r="F19" s="9"/>
      <c r="G19" s="9"/>
      <c r="H19" s="9"/>
    </row>
    <row r="20" spans="1:8" x14ac:dyDescent="0.35">
      <c r="A20" s="57">
        <v>0.7</v>
      </c>
      <c r="B20" s="12" t="s">
        <v>23</v>
      </c>
      <c r="D20" s="9"/>
      <c r="E20" s="9"/>
      <c r="F20" s="9"/>
      <c r="G20" s="9"/>
      <c r="H20" s="9"/>
    </row>
    <row r="21" spans="1:8" x14ac:dyDescent="0.35">
      <c r="A21" s="57">
        <v>0.8</v>
      </c>
      <c r="B21" s="12" t="s">
        <v>24</v>
      </c>
      <c r="D21" s="9"/>
      <c r="E21" s="9"/>
      <c r="F21" s="9"/>
      <c r="G21" s="9"/>
      <c r="H21" s="9"/>
    </row>
    <row r="22" spans="1:8" x14ac:dyDescent="0.35">
      <c r="A22" s="57">
        <v>0.9</v>
      </c>
      <c r="B22" s="12" t="s">
        <v>25</v>
      </c>
      <c r="D22" s="9"/>
      <c r="E22" s="9"/>
      <c r="F22" s="9"/>
      <c r="G22" s="9"/>
      <c r="H22" s="9"/>
    </row>
    <row r="23" spans="1:8" x14ac:dyDescent="0.35">
      <c r="A23" s="13"/>
      <c r="D23" s="9"/>
      <c r="E23" s="9"/>
      <c r="F23" s="9"/>
      <c r="G23" s="9"/>
    </row>
    <row r="24" spans="1:8" x14ac:dyDescent="0.35">
      <c r="A24" s="13"/>
      <c r="B24" s="13"/>
      <c r="C24" s="14"/>
      <c r="D24" s="9"/>
      <c r="E24" s="9"/>
      <c r="F24" s="9"/>
      <c r="G24" s="9"/>
    </row>
    <row r="25" spans="1:8" ht="17.5" x14ac:dyDescent="0.35">
      <c r="A25" s="15" t="s">
        <v>26</v>
      </c>
      <c r="B25" s="13"/>
      <c r="C25" s="14"/>
      <c r="D25" s="9"/>
      <c r="E25" s="9"/>
      <c r="F25" s="9"/>
      <c r="G25" s="9"/>
    </row>
    <row r="26" spans="1:8" x14ac:dyDescent="0.35">
      <c r="A26" s="13"/>
      <c r="B26" s="13"/>
      <c r="C26" s="14"/>
      <c r="D26" s="9"/>
      <c r="E26" s="9"/>
      <c r="F26" s="9"/>
      <c r="G26" s="9"/>
    </row>
    <row r="27" spans="1:8" ht="26" x14ac:dyDescent="0.35">
      <c r="A27" s="16" t="s">
        <v>27</v>
      </c>
      <c r="B27" s="16" t="s">
        <v>28</v>
      </c>
      <c r="C27" s="17" t="s">
        <v>29</v>
      </c>
      <c r="D27" s="17" t="s">
        <v>30</v>
      </c>
      <c r="E27" s="33" t="s">
        <v>17</v>
      </c>
      <c r="G27" s="65" t="s">
        <v>31</v>
      </c>
      <c r="H27" s="66"/>
    </row>
    <row r="28" spans="1:8" x14ac:dyDescent="0.35">
      <c r="A28" s="18">
        <v>1001</v>
      </c>
      <c r="B28" s="18" t="s">
        <v>32</v>
      </c>
      <c r="C28" s="19">
        <v>37</v>
      </c>
      <c r="D28" s="19">
        <v>75</v>
      </c>
      <c r="E28" s="19" t="str">
        <f>VLOOKUP(SUM(C28:D28),$G$27:$H$32,2,1)</f>
        <v>Pass</v>
      </c>
      <c r="G28" s="20">
        <v>0</v>
      </c>
      <c r="H28" s="20" t="s">
        <v>33</v>
      </c>
    </row>
    <row r="29" spans="1:8" x14ac:dyDescent="0.35">
      <c r="A29" s="18">
        <v>1002</v>
      </c>
      <c r="B29" s="18" t="s">
        <v>34</v>
      </c>
      <c r="C29" s="19">
        <v>9</v>
      </c>
      <c r="D29" s="19">
        <v>83</v>
      </c>
      <c r="E29" s="19" t="str">
        <f t="shared" ref="E29:E36" si="0">VLOOKUP(SUM(C29:D29),$G$27:$H$32,2,1)</f>
        <v>Fail</v>
      </c>
      <c r="G29" s="20">
        <v>100</v>
      </c>
      <c r="H29" s="20" t="s">
        <v>35</v>
      </c>
    </row>
    <row r="30" spans="1:8" x14ac:dyDescent="0.35">
      <c r="A30" s="18">
        <v>1003</v>
      </c>
      <c r="B30" s="18" t="s">
        <v>36</v>
      </c>
      <c r="C30" s="19">
        <v>120</v>
      </c>
      <c r="D30" s="19">
        <v>5</v>
      </c>
      <c r="E30" s="19" t="str">
        <f>VLOOKUP(SUM(C30:D30),$G$27:$H$32,2,1)</f>
        <v>Pass</v>
      </c>
      <c r="G30" s="20">
        <v>150</v>
      </c>
      <c r="H30" s="20" t="s">
        <v>37</v>
      </c>
    </row>
    <row r="31" spans="1:8" x14ac:dyDescent="0.35">
      <c r="A31" s="18">
        <v>1004</v>
      </c>
      <c r="B31" s="18" t="s">
        <v>38</v>
      </c>
      <c r="C31" s="19">
        <v>98</v>
      </c>
      <c r="D31" s="19">
        <v>98</v>
      </c>
      <c r="E31" s="19" t="str">
        <f t="shared" si="0"/>
        <v>Good</v>
      </c>
      <c r="G31" s="20">
        <v>200</v>
      </c>
      <c r="H31" s="20" t="s">
        <v>39</v>
      </c>
    </row>
    <row r="32" spans="1:8" x14ac:dyDescent="0.35">
      <c r="A32" s="18">
        <v>1005</v>
      </c>
      <c r="B32" s="18" t="s">
        <v>40</v>
      </c>
      <c r="C32" s="19">
        <v>93</v>
      </c>
      <c r="D32" s="19">
        <v>24</v>
      </c>
      <c r="E32" s="19" t="str">
        <f t="shared" si="0"/>
        <v>Pass</v>
      </c>
      <c r="G32" s="20">
        <v>250</v>
      </c>
      <c r="H32" s="20" t="s">
        <v>41</v>
      </c>
    </row>
    <row r="33" spans="1:10" x14ac:dyDescent="0.35">
      <c r="A33" s="18">
        <v>1006</v>
      </c>
      <c r="B33" s="18" t="s">
        <v>42</v>
      </c>
      <c r="C33" s="19">
        <v>34</v>
      </c>
      <c r="D33" s="19">
        <v>40</v>
      </c>
      <c r="E33" s="19" t="str">
        <f t="shared" si="0"/>
        <v>Fail</v>
      </c>
    </row>
    <row r="34" spans="1:10" x14ac:dyDescent="0.35">
      <c r="A34" s="18">
        <v>1007</v>
      </c>
      <c r="B34" s="18" t="s">
        <v>43</v>
      </c>
      <c r="C34" s="19">
        <v>150</v>
      </c>
      <c r="D34" s="19">
        <v>130</v>
      </c>
      <c r="E34" s="19" t="str">
        <f>VLOOKUP(SUM(C34:D34),$G$27:$H$32,2,1)</f>
        <v>Excellent</v>
      </c>
    </row>
    <row r="35" spans="1:10" x14ac:dyDescent="0.35">
      <c r="A35" s="18">
        <v>1008</v>
      </c>
      <c r="B35" s="18" t="s">
        <v>44</v>
      </c>
      <c r="C35" s="19">
        <v>54</v>
      </c>
      <c r="D35" s="19">
        <v>63</v>
      </c>
      <c r="E35" s="19" t="str">
        <f t="shared" si="0"/>
        <v>Pass</v>
      </c>
    </row>
    <row r="36" spans="1:10" x14ac:dyDescent="0.35">
      <c r="A36" s="18">
        <v>1009</v>
      </c>
      <c r="B36" s="18" t="s">
        <v>45</v>
      </c>
      <c r="C36" s="19">
        <v>94</v>
      </c>
      <c r="D36" s="19">
        <v>73</v>
      </c>
      <c r="E36" s="19" t="str">
        <f t="shared" si="0"/>
        <v>Good</v>
      </c>
    </row>
    <row r="37" spans="1:10" x14ac:dyDescent="0.35">
      <c r="A37" s="21"/>
      <c r="B37" s="21"/>
      <c r="C37" s="22"/>
      <c r="D37" s="22"/>
      <c r="E37" s="22"/>
    </row>
    <row r="38" spans="1:10" x14ac:dyDescent="0.35">
      <c r="A38" s="21"/>
      <c r="B38" s="21"/>
      <c r="C38" s="22"/>
      <c r="D38" s="22"/>
      <c r="E38" s="22"/>
    </row>
    <row r="39" spans="1:10" x14ac:dyDescent="0.35">
      <c r="A39" s="21"/>
      <c r="B39" s="21"/>
      <c r="C39" s="22"/>
      <c r="D39" s="22"/>
      <c r="E39" s="22"/>
    </row>
    <row r="40" spans="1:10" x14ac:dyDescent="0.35">
      <c r="A40" s="23" t="s">
        <v>46</v>
      </c>
      <c r="B40" s="23" t="s">
        <v>47</v>
      </c>
      <c r="C40" s="23" t="s">
        <v>48</v>
      </c>
      <c r="D40" s="23" t="s">
        <v>49</v>
      </c>
      <c r="E40" s="23" t="s">
        <v>50</v>
      </c>
      <c r="F40" s="34" t="s">
        <v>51</v>
      </c>
      <c r="H40" s="23" t="s">
        <v>52</v>
      </c>
      <c r="I40" s="23" t="s">
        <v>51</v>
      </c>
    </row>
    <row r="41" spans="1:10" x14ac:dyDescent="0.35">
      <c r="A41" s="24">
        <v>100</v>
      </c>
      <c r="B41" s="24" t="str">
        <f>LEFT(D41,FIND(" ",D41)-1)</f>
        <v>Ayman</v>
      </c>
      <c r="C41" s="24" t="str">
        <f>RIGHT(D41,LEN(D41)-FIND(" ",D41))</f>
        <v>Raafat</v>
      </c>
      <c r="D41" s="25" t="s">
        <v>53</v>
      </c>
      <c r="E41" s="25" t="s">
        <v>54</v>
      </c>
      <c r="F41" s="20" t="str">
        <f>VLOOKUP(E41,$H$40:$I$44,2,0)</f>
        <v>B</v>
      </c>
      <c r="H41" s="20" t="s">
        <v>55</v>
      </c>
      <c r="I41" s="20" t="s">
        <v>25</v>
      </c>
      <c r="J41" s="60"/>
    </row>
    <row r="42" spans="1:10" x14ac:dyDescent="0.35">
      <c r="A42" s="24">
        <v>200</v>
      </c>
      <c r="B42" s="24" t="str">
        <f t="shared" ref="B42:B47" si="1">LEFT(D42,FIND(" ",D42)-1)</f>
        <v>Lamia</v>
      </c>
      <c r="C42" s="24" t="str">
        <f t="shared" ref="C42:C47" si="2">RIGHT(D42,LEN(D42)-FIND(" ",D42))</f>
        <v>Saher</v>
      </c>
      <c r="D42" s="25" t="s">
        <v>56</v>
      </c>
      <c r="E42" s="25" t="s">
        <v>57</v>
      </c>
      <c r="F42" s="20" t="str">
        <f t="shared" ref="F42:F47" si="3">VLOOKUP(E42,$H$40:$I$44,2,0)</f>
        <v>D</v>
      </c>
      <c r="H42" s="20" t="s">
        <v>54</v>
      </c>
      <c r="I42" s="20" t="s">
        <v>24</v>
      </c>
      <c r="J42" s="60"/>
    </row>
    <row r="43" spans="1:10" x14ac:dyDescent="0.35">
      <c r="A43" s="24">
        <v>300</v>
      </c>
      <c r="B43" s="24" t="str">
        <f t="shared" si="1"/>
        <v>Randa</v>
      </c>
      <c r="C43" s="24" t="str">
        <f t="shared" si="2"/>
        <v>Elsayed</v>
      </c>
      <c r="D43" s="25" t="s">
        <v>58</v>
      </c>
      <c r="E43" s="25" t="s">
        <v>59</v>
      </c>
      <c r="F43" s="20" t="str">
        <f t="shared" si="3"/>
        <v>C</v>
      </c>
      <c r="H43" s="25" t="s">
        <v>59</v>
      </c>
      <c r="I43" s="20" t="s">
        <v>23</v>
      </c>
      <c r="J43" s="60"/>
    </row>
    <row r="44" spans="1:10" x14ac:dyDescent="0.35">
      <c r="A44" s="24">
        <v>400</v>
      </c>
      <c r="B44" s="24" t="str">
        <f t="shared" si="1"/>
        <v>Walaa</v>
      </c>
      <c r="C44" s="24" t="str">
        <f t="shared" si="2"/>
        <v>Mostafa</v>
      </c>
      <c r="D44" s="25" t="s">
        <v>34</v>
      </c>
      <c r="E44" s="25" t="s">
        <v>59</v>
      </c>
      <c r="F44" s="20" t="str">
        <f t="shared" si="3"/>
        <v>C</v>
      </c>
      <c r="H44" s="20" t="s">
        <v>57</v>
      </c>
      <c r="I44" s="20" t="s">
        <v>22</v>
      </c>
      <c r="J44" s="60"/>
    </row>
    <row r="45" spans="1:10" x14ac:dyDescent="0.35">
      <c r="A45" s="24">
        <v>500</v>
      </c>
      <c r="B45" s="24" t="str">
        <f t="shared" si="1"/>
        <v>Mona</v>
      </c>
      <c r="C45" s="24" t="str">
        <f>RIGHT(D45,LEN(D45)-FIND(" ",D45))</f>
        <v>Fares</v>
      </c>
      <c r="D45" s="25" t="s">
        <v>60</v>
      </c>
      <c r="E45" s="25" t="s">
        <v>54</v>
      </c>
      <c r="F45" s="20" t="str">
        <f t="shared" si="3"/>
        <v>B</v>
      </c>
    </row>
    <row r="46" spans="1:10" x14ac:dyDescent="0.35">
      <c r="A46" s="24">
        <v>600</v>
      </c>
      <c r="B46" s="24" t="str">
        <f t="shared" si="1"/>
        <v>Diaa</v>
      </c>
      <c r="C46" s="24" t="str">
        <f t="shared" si="2"/>
        <v>Elmasry</v>
      </c>
      <c r="D46" s="25" t="s">
        <v>61</v>
      </c>
      <c r="E46" s="25" t="s">
        <v>55</v>
      </c>
      <c r="F46" s="20" t="str">
        <f t="shared" si="3"/>
        <v>A</v>
      </c>
    </row>
    <row r="47" spans="1:10" x14ac:dyDescent="0.35">
      <c r="A47" s="24">
        <v>700</v>
      </c>
      <c r="B47" s="24" t="str">
        <f t="shared" si="1"/>
        <v>Tarek</v>
      </c>
      <c r="C47" s="24" t="str">
        <f t="shared" si="2"/>
        <v>Ehab</v>
      </c>
      <c r="D47" s="25" t="s">
        <v>62</v>
      </c>
      <c r="E47" s="25" t="s">
        <v>55</v>
      </c>
      <c r="F47" s="20" t="str">
        <f t="shared" si="3"/>
        <v>A</v>
      </c>
    </row>
    <row r="48" spans="1:10" x14ac:dyDescent="0.35">
      <c r="A48" s="21"/>
      <c r="B48" s="21"/>
      <c r="C48" s="22"/>
      <c r="D48" s="22"/>
      <c r="E48" s="22"/>
    </row>
    <row r="49" spans="1:8" x14ac:dyDescent="0.35">
      <c r="A49" s="21"/>
      <c r="B49" s="21"/>
      <c r="C49" s="22"/>
      <c r="D49" s="22"/>
      <c r="E49" s="22"/>
    </row>
    <row r="50" spans="1:8" x14ac:dyDescent="0.35">
      <c r="A50" s="21"/>
      <c r="B50" s="21"/>
      <c r="C50" s="22"/>
      <c r="D50" s="22"/>
      <c r="E50" s="22"/>
    </row>
    <row r="51" spans="1:8" x14ac:dyDescent="0.35">
      <c r="A51" s="21"/>
      <c r="B51" s="21"/>
      <c r="C51" s="22"/>
      <c r="D51" s="22"/>
      <c r="E51" s="22"/>
    </row>
    <row r="52" spans="1:8" x14ac:dyDescent="0.35">
      <c r="A52" s="13"/>
      <c r="B52" s="13"/>
      <c r="C52" s="14"/>
      <c r="D52" s="9"/>
      <c r="E52" s="9"/>
      <c r="F52" s="9"/>
      <c r="G52" s="9"/>
    </row>
    <row r="54" spans="1:8" x14ac:dyDescent="0.35">
      <c r="G54" s="28" t="s">
        <v>46</v>
      </c>
      <c r="H54" s="35" t="s">
        <v>63</v>
      </c>
    </row>
    <row r="55" spans="1:8" x14ac:dyDescent="0.35">
      <c r="A55" s="29" t="s">
        <v>46</v>
      </c>
      <c r="B55" s="29" t="s">
        <v>64</v>
      </c>
      <c r="C55" s="29" t="s">
        <v>65</v>
      </c>
      <c r="D55" s="29" t="s">
        <v>66</v>
      </c>
      <c r="E55" s="29" t="s">
        <v>67</v>
      </c>
      <c r="G55" s="26">
        <v>106</v>
      </c>
      <c r="H55" s="26" t="str">
        <f>VLOOKUP(G55,A55:E61,3,0)</f>
        <v>Luis</v>
      </c>
    </row>
    <row r="56" spans="1:8" x14ac:dyDescent="0.35">
      <c r="A56" s="10">
        <v>101</v>
      </c>
      <c r="B56" s="10" t="s">
        <v>68</v>
      </c>
      <c r="C56" s="10" t="s">
        <v>69</v>
      </c>
      <c r="D56" s="10" t="s">
        <v>70</v>
      </c>
      <c r="E56" s="30">
        <v>25180</v>
      </c>
      <c r="G56" s="27"/>
      <c r="H56" s="27"/>
    </row>
    <row r="57" spans="1:8" x14ac:dyDescent="0.35">
      <c r="A57" s="10">
        <v>102</v>
      </c>
      <c r="B57" s="10" t="s">
        <v>71</v>
      </c>
      <c r="C57" s="10" t="s">
        <v>72</v>
      </c>
      <c r="D57" s="10" t="s">
        <v>73</v>
      </c>
      <c r="E57" s="30">
        <v>19043</v>
      </c>
      <c r="G57" s="28" t="s">
        <v>74</v>
      </c>
      <c r="H57" s="35" t="s">
        <v>63</v>
      </c>
    </row>
    <row r="58" spans="1:8" x14ac:dyDescent="0.35">
      <c r="A58" s="10">
        <v>103</v>
      </c>
      <c r="B58" s="10" t="s">
        <v>75</v>
      </c>
      <c r="C58" s="10" t="s">
        <v>76</v>
      </c>
      <c r="D58" s="10" t="s">
        <v>70</v>
      </c>
      <c r="E58" s="30">
        <v>23253</v>
      </c>
      <c r="G58" s="26" t="s">
        <v>71</v>
      </c>
      <c r="H58" s="26" t="e">
        <f>VLOOKUP(G58,A55:E61,3,1)</f>
        <v>#N/A</v>
      </c>
    </row>
    <row r="59" spans="1:8" x14ac:dyDescent="0.35">
      <c r="A59" s="10">
        <v>104</v>
      </c>
      <c r="B59" s="10" t="s">
        <v>77</v>
      </c>
      <c r="C59" s="10" t="s">
        <v>78</v>
      </c>
      <c r="D59" s="10" t="s">
        <v>70</v>
      </c>
      <c r="E59" s="30">
        <v>21447</v>
      </c>
      <c r="G59" s="27"/>
      <c r="H59" s="27"/>
    </row>
    <row r="60" spans="1:8" x14ac:dyDescent="0.35">
      <c r="A60" s="10">
        <v>105</v>
      </c>
      <c r="B60" s="10" t="s">
        <v>79</v>
      </c>
      <c r="C60" s="10" t="s">
        <v>80</v>
      </c>
      <c r="D60" s="10" t="s">
        <v>81</v>
      </c>
      <c r="E60" s="30">
        <v>20152</v>
      </c>
      <c r="G60" s="28" t="s">
        <v>46</v>
      </c>
      <c r="H60" s="35" t="s">
        <v>63</v>
      </c>
    </row>
    <row r="61" spans="1:8" x14ac:dyDescent="0.35">
      <c r="A61" s="10">
        <v>106</v>
      </c>
      <c r="B61" s="10" t="s">
        <v>82</v>
      </c>
      <c r="C61" s="10" t="s">
        <v>83</v>
      </c>
      <c r="D61" s="10" t="s">
        <v>70</v>
      </c>
      <c r="E61" s="30">
        <v>23194</v>
      </c>
      <c r="G61" s="26">
        <v>108</v>
      </c>
      <c r="H61" s="26" t="str">
        <f>_xlfn.IFNA(VLOOKUP(G61,A55:E61,3,0),"not avalible")</f>
        <v>not avalible</v>
      </c>
    </row>
    <row r="62" spans="1:8" x14ac:dyDescent="0.35">
      <c r="G62" s="27"/>
      <c r="H62" s="27"/>
    </row>
  </sheetData>
  <mergeCells count="3">
    <mergeCell ref="A1:E1"/>
    <mergeCell ref="A2:E3"/>
    <mergeCell ref="G27:H27"/>
  </mergeCells>
  <phoneticPr fontId="1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zoomScale="56" workbookViewId="0">
      <selection activeCell="F10" sqref="F10"/>
    </sheetView>
  </sheetViews>
  <sheetFormatPr defaultRowHeight="14.5" x14ac:dyDescent="0.35"/>
  <cols>
    <col min="1" max="1" width="15.54296875" customWidth="1"/>
    <col min="2" max="2" width="27.26953125" customWidth="1"/>
    <col min="3" max="3" width="16.1796875" customWidth="1"/>
    <col min="10" max="10" width="14.1796875" style="27" customWidth="1"/>
    <col min="11" max="11" width="7.81640625" style="27" bestFit="1" customWidth="1"/>
    <col min="12" max="12" width="7.1796875" style="27" bestFit="1" customWidth="1"/>
    <col min="13" max="13" width="7.453125" style="27" bestFit="1" customWidth="1"/>
    <col min="14" max="14" width="9.453125" style="27" bestFit="1" customWidth="1"/>
  </cols>
  <sheetData>
    <row r="1" spans="1:14" ht="23.5" x14ac:dyDescent="0.35">
      <c r="A1" s="62" t="s">
        <v>102</v>
      </c>
      <c r="B1" s="62"/>
      <c r="C1" s="62"/>
      <c r="D1" s="62"/>
      <c r="E1" s="62"/>
    </row>
    <row r="2" spans="1:14" x14ac:dyDescent="0.35">
      <c r="A2" s="36" t="s">
        <v>46</v>
      </c>
      <c r="B2" s="53" t="s">
        <v>90</v>
      </c>
      <c r="C2" s="53" t="s">
        <v>91</v>
      </c>
      <c r="I2" s="36" t="s">
        <v>46</v>
      </c>
      <c r="J2" s="26">
        <v>1001</v>
      </c>
      <c r="K2" s="26">
        <v>1002</v>
      </c>
      <c r="L2" s="26">
        <v>1003</v>
      </c>
      <c r="M2" s="26">
        <v>1004</v>
      </c>
      <c r="N2" s="26">
        <v>1005</v>
      </c>
    </row>
    <row r="3" spans="1:14" x14ac:dyDescent="0.35">
      <c r="A3" s="20">
        <v>1001</v>
      </c>
      <c r="B3" s="20" t="str">
        <f>HLOOKUP(A3,$I$2:$N$4,3,0)</f>
        <v>Computer</v>
      </c>
      <c r="C3" s="20" t="str">
        <f>HLOOKUP(A3,$I$2:$N$4,2,0)</f>
        <v>Dell</v>
      </c>
      <c r="I3" s="36" t="s">
        <v>91</v>
      </c>
      <c r="J3" s="26" t="s">
        <v>92</v>
      </c>
      <c r="K3" s="26" t="s">
        <v>93</v>
      </c>
      <c r="L3" s="26" t="s">
        <v>94</v>
      </c>
      <c r="M3" s="26" t="s">
        <v>95</v>
      </c>
      <c r="N3" s="26" t="s">
        <v>96</v>
      </c>
    </row>
    <row r="4" spans="1:14" x14ac:dyDescent="0.35">
      <c r="A4" s="20">
        <v>1002</v>
      </c>
      <c r="B4" s="20" t="str">
        <f t="shared" ref="B4:B6" si="0">HLOOKUP(A4,$I$2:$N$4,3,0)</f>
        <v>Laptop</v>
      </c>
      <c r="C4" s="20" t="str">
        <f t="shared" ref="C4:C6" si="1">HLOOKUP(A4,$I$2:$N$4,2,0)</f>
        <v>Toshiba</v>
      </c>
      <c r="I4" s="36" t="s">
        <v>90</v>
      </c>
      <c r="J4" s="26" t="s">
        <v>97</v>
      </c>
      <c r="K4" s="26" t="s">
        <v>98</v>
      </c>
      <c r="L4" s="26" t="s">
        <v>99</v>
      </c>
      <c r="M4" s="26" t="s">
        <v>100</v>
      </c>
      <c r="N4" s="26" t="s">
        <v>101</v>
      </c>
    </row>
    <row r="5" spans="1:14" x14ac:dyDescent="0.35">
      <c r="A5" s="20">
        <v>1005</v>
      </c>
      <c r="B5" s="20" t="str">
        <f t="shared" si="0"/>
        <v>Keyboard</v>
      </c>
      <c r="C5" s="20" t="str">
        <f t="shared" si="1"/>
        <v>Microsoft</v>
      </c>
    </row>
    <row r="6" spans="1:14" x14ac:dyDescent="0.35">
      <c r="A6" s="20">
        <v>1004</v>
      </c>
      <c r="B6" s="20" t="str">
        <f t="shared" si="0"/>
        <v>Mouse</v>
      </c>
      <c r="C6" s="20" t="str">
        <f t="shared" si="1"/>
        <v>Lenovo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zoomScale="79" zoomScaleNormal="80" workbookViewId="0">
      <selection activeCell="C10" sqref="C10"/>
    </sheetView>
  </sheetViews>
  <sheetFormatPr defaultColWidth="12.54296875" defaultRowHeight="15.5" x14ac:dyDescent="0.35"/>
  <cols>
    <col min="1" max="1" width="6.7265625" style="38" customWidth="1"/>
    <col min="2" max="2" width="12.26953125" style="38" customWidth="1"/>
    <col min="3" max="3" width="23" style="38" bestFit="1" customWidth="1"/>
    <col min="4" max="4" width="14.453125" style="38" customWidth="1"/>
    <col min="5" max="5" width="40.26953125" style="38" bestFit="1" customWidth="1"/>
    <col min="6" max="16384" width="12.54296875" style="38"/>
  </cols>
  <sheetData>
    <row r="1" spans="1:5" ht="23.5" x14ac:dyDescent="0.35">
      <c r="A1" s="62" t="s">
        <v>103</v>
      </c>
      <c r="B1" s="62"/>
      <c r="C1" s="62"/>
      <c r="D1" s="62"/>
      <c r="E1" s="51" t="s">
        <v>125</v>
      </c>
    </row>
    <row r="3" spans="1:5" x14ac:dyDescent="0.35">
      <c r="B3" s="50" t="s">
        <v>118</v>
      </c>
      <c r="C3" s="55" t="s">
        <v>126</v>
      </c>
      <c r="D3" s="55" t="s">
        <v>127</v>
      </c>
    </row>
    <row r="4" spans="1:5" x14ac:dyDescent="0.35">
      <c r="B4" s="26" t="s">
        <v>121</v>
      </c>
      <c r="C4" s="54">
        <v>25</v>
      </c>
      <c r="D4" s="54" t="s">
        <v>128</v>
      </c>
    </row>
    <row r="5" spans="1:5" x14ac:dyDescent="0.35">
      <c r="B5" s="26" t="s">
        <v>122</v>
      </c>
      <c r="C5" s="61">
        <v>30</v>
      </c>
      <c r="D5" s="54" t="s">
        <v>129</v>
      </c>
    </row>
    <row r="6" spans="1:5" x14ac:dyDescent="0.35">
      <c r="B6" s="26" t="s">
        <v>123</v>
      </c>
      <c r="C6" s="54">
        <v>28</v>
      </c>
      <c r="D6" s="54" t="s">
        <v>130</v>
      </c>
    </row>
    <row r="10" spans="1:5" x14ac:dyDescent="0.35">
      <c r="B10" t="str">
        <f>INDEX(B4:D6, 2, 1)</f>
        <v>Sarah</v>
      </c>
      <c r="C10" t="str">
        <f>INDEX(B4:D6,2,1)</f>
        <v>Sarah</v>
      </c>
      <c r="E10" t="s">
        <v>131</v>
      </c>
    </row>
    <row r="12" spans="1:5" x14ac:dyDescent="0.35">
      <c r="B12" t="str">
        <f>INDEX(B4:D6, 3, 3)</f>
        <v>Chicago</v>
      </c>
      <c r="C12" t="str">
        <f>INDEX(B4:D6,3,3)</f>
        <v>Chicago</v>
      </c>
      <c r="E12" t="s">
        <v>132</v>
      </c>
    </row>
    <row r="14" spans="1:5" x14ac:dyDescent="0.35">
      <c r="B14" t="str">
        <f>INDEX(B4:B6, 2)</f>
        <v>Sarah</v>
      </c>
      <c r="C14" t="str">
        <f>INDEX(B4:B6,2)</f>
        <v>Sarah</v>
      </c>
      <c r="E14" t="s">
        <v>133</v>
      </c>
    </row>
    <row r="18" spans="2:3" x14ac:dyDescent="0.35">
      <c r="B18" s="38" t="str">
        <f>INDEX(B4:B6,2)</f>
        <v>Sarah</v>
      </c>
      <c r="C18" s="38" t="str">
        <f>INDEX(B4:D6,2,3)</f>
        <v>LA</v>
      </c>
    </row>
  </sheetData>
  <mergeCells count="1">
    <mergeCell ref="A1:D1"/>
  </mergeCells>
  <pageMargins left="0.75" right="0.75" top="1" bottom="1" header="0.5" footer="0.5"/>
  <pageSetup orientation="portrait" horizontalDpi="4294967292" vertic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workbookViewId="0">
      <selection activeCell="F7" sqref="F7"/>
    </sheetView>
  </sheetViews>
  <sheetFormatPr defaultColWidth="9.1796875" defaultRowHeight="15.5" x14ac:dyDescent="0.35"/>
  <cols>
    <col min="1" max="1" width="6.453125" style="38" customWidth="1"/>
    <col min="2" max="16384" width="9.1796875" style="38"/>
  </cols>
  <sheetData>
    <row r="1" spans="1:10" ht="23.5" x14ac:dyDescent="0.35">
      <c r="A1" s="62" t="s">
        <v>134</v>
      </c>
      <c r="B1" s="62"/>
      <c r="C1" s="62"/>
      <c r="D1" s="62"/>
      <c r="E1" t="s">
        <v>135</v>
      </c>
    </row>
    <row r="2" spans="1:10" x14ac:dyDescent="0.35">
      <c r="A2" s="37"/>
      <c r="J2" s="38" t="s">
        <v>104</v>
      </c>
    </row>
    <row r="3" spans="1:10" x14ac:dyDescent="0.35">
      <c r="J3" s="38" t="s">
        <v>105</v>
      </c>
    </row>
    <row r="4" spans="1:10" x14ac:dyDescent="0.35">
      <c r="D4" s="38" t="s">
        <v>136</v>
      </c>
    </row>
    <row r="5" spans="1:10" x14ac:dyDescent="0.35">
      <c r="B5" s="39" t="s">
        <v>18</v>
      </c>
      <c r="D5" s="40">
        <f>MATCH(B8,B6:B8,0)</f>
        <v>3</v>
      </c>
    </row>
    <row r="6" spans="1:10" x14ac:dyDescent="0.35">
      <c r="B6" s="26" t="s">
        <v>121</v>
      </c>
      <c r="C6" s="38">
        <f>MATCH(B6,$B$6:$B$8,0)</f>
        <v>1</v>
      </c>
    </row>
    <row r="7" spans="1:10" x14ac:dyDescent="0.35">
      <c r="B7" s="26" t="s">
        <v>122</v>
      </c>
      <c r="C7" s="38">
        <f t="shared" ref="C7:C8" si="0">MATCH(B7,$B$6:$B$8,0)</f>
        <v>2</v>
      </c>
    </row>
    <row r="8" spans="1:10" x14ac:dyDescent="0.35">
      <c r="B8" s="26" t="s">
        <v>123</v>
      </c>
      <c r="C8" s="38">
        <f t="shared" si="0"/>
        <v>3</v>
      </c>
      <c r="D8" s="38">
        <f>MATCH("Mike",B6:B8,0)</f>
        <v>3</v>
      </c>
    </row>
    <row r="9" spans="1:10" x14ac:dyDescent="0.35">
      <c r="B9"/>
    </row>
    <row r="10" spans="1:10" x14ac:dyDescent="0.35">
      <c r="B10"/>
      <c r="D10" s="38">
        <f>MATCH("Sarah",B6:B8,0)</f>
        <v>2</v>
      </c>
    </row>
    <row r="11" spans="1:10" x14ac:dyDescent="0.35">
      <c r="B11"/>
    </row>
    <row r="12" spans="1:10" x14ac:dyDescent="0.35">
      <c r="B1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"/>
  <sheetViews>
    <sheetView showGridLines="0" tabSelected="1" topLeftCell="A10" zoomScale="101" workbookViewId="0">
      <selection activeCell="J14" sqref="J14"/>
    </sheetView>
  </sheetViews>
  <sheetFormatPr defaultColWidth="12.54296875" defaultRowHeight="15.5" x14ac:dyDescent="0.35"/>
  <cols>
    <col min="1" max="1" width="6.26953125" style="38" customWidth="1"/>
    <col min="2" max="2" width="12.7265625" style="38" customWidth="1"/>
    <col min="3" max="3" width="10.453125" style="38" customWidth="1"/>
    <col min="4" max="4" width="12.54296875" style="38" bestFit="1" customWidth="1"/>
    <col min="5" max="5" width="10.453125" style="38" customWidth="1"/>
    <col min="6" max="6" width="8.7265625" style="38" customWidth="1"/>
    <col min="7" max="7" width="12.1796875" style="38" customWidth="1"/>
    <col min="8" max="8" width="11.453125" style="38" customWidth="1"/>
    <col min="9" max="16384" width="12.54296875" style="38"/>
  </cols>
  <sheetData>
    <row r="1" spans="1:13" ht="23.5" x14ac:dyDescent="0.35">
      <c r="A1" s="62" t="s">
        <v>112</v>
      </c>
      <c r="B1" s="62"/>
      <c r="C1" s="62"/>
      <c r="D1" s="62"/>
      <c r="E1" s="62"/>
      <c r="M1" s="42" t="s">
        <v>113</v>
      </c>
    </row>
    <row r="2" spans="1:13" x14ac:dyDescent="0.35">
      <c r="H2"/>
      <c r="J2" s="42" t="s">
        <v>114</v>
      </c>
    </row>
    <row r="3" spans="1:13" x14ac:dyDescent="0.35">
      <c r="B3" s="52" t="s">
        <v>117</v>
      </c>
      <c r="C3" s="52" t="s">
        <v>118</v>
      </c>
      <c r="D3" s="52" t="s">
        <v>119</v>
      </c>
      <c r="E3" s="52" t="s">
        <v>120</v>
      </c>
      <c r="G3" s="41"/>
      <c r="H3"/>
      <c r="J3" s="42" t="s">
        <v>115</v>
      </c>
    </row>
    <row r="4" spans="1:13" x14ac:dyDescent="0.35">
      <c r="B4" s="26">
        <v>101</v>
      </c>
      <c r="C4" s="26" t="s">
        <v>86</v>
      </c>
      <c r="D4" s="26" t="s">
        <v>55</v>
      </c>
      <c r="E4" s="26">
        <v>10000</v>
      </c>
      <c r="H4"/>
    </row>
    <row r="5" spans="1:13" x14ac:dyDescent="0.35">
      <c r="B5" s="26">
        <v>102</v>
      </c>
      <c r="C5" s="26" t="s">
        <v>122</v>
      </c>
      <c r="D5" s="26" t="s">
        <v>59</v>
      </c>
      <c r="E5" s="26">
        <v>12000</v>
      </c>
      <c r="H5"/>
    </row>
    <row r="6" spans="1:13" x14ac:dyDescent="0.35">
      <c r="B6" s="26">
        <v>103</v>
      </c>
      <c r="C6" s="26" t="s">
        <v>123</v>
      </c>
      <c r="D6" s="26" t="s">
        <v>124</v>
      </c>
      <c r="E6" s="26">
        <v>15000</v>
      </c>
      <c r="H6"/>
    </row>
    <row r="7" spans="1:13" x14ac:dyDescent="0.35">
      <c r="A7"/>
      <c r="B7"/>
      <c r="C7"/>
      <c r="D7"/>
      <c r="F7"/>
      <c r="G7"/>
    </row>
    <row r="8" spans="1:13" x14ac:dyDescent="0.35">
      <c r="A8"/>
      <c r="B8" s="27" t="str">
        <f>INDEX(C3:C6, MATCH(103, B3:B6, 0))</f>
        <v>Mike</v>
      </c>
      <c r="C8" t="s">
        <v>140</v>
      </c>
      <c r="D8"/>
      <c r="E8"/>
      <c r="F8"/>
      <c r="G8" t="s">
        <v>137</v>
      </c>
    </row>
    <row r="9" spans="1:13" x14ac:dyDescent="0.35">
      <c r="A9"/>
      <c r="B9" s="27">
        <f>INDEX(B3:B6, MATCH("IT",D3:D6, 0))</f>
        <v>103</v>
      </c>
      <c r="C9" t="s">
        <v>138</v>
      </c>
      <c r="D9"/>
      <c r="E9"/>
      <c r="F9"/>
      <c r="G9" t="s">
        <v>139</v>
      </c>
    </row>
    <row r="10" spans="1:13" x14ac:dyDescent="0.35">
      <c r="A10"/>
      <c r="B10"/>
      <c r="C10"/>
      <c r="D10"/>
      <c r="E10"/>
      <c r="F10"/>
      <c r="G10"/>
    </row>
    <row r="14" spans="1:13" x14ac:dyDescent="0.35">
      <c r="B14" s="58" t="s">
        <v>106</v>
      </c>
      <c r="C14" s="45" t="s">
        <v>107</v>
      </c>
      <c r="D14" s="45" t="s">
        <v>108</v>
      </c>
      <c r="E14" s="46" t="s">
        <v>18</v>
      </c>
      <c r="F14"/>
      <c r="G14" s="43" t="s">
        <v>18</v>
      </c>
      <c r="H14" s="48" t="s">
        <v>88</v>
      </c>
    </row>
    <row r="15" spans="1:13" x14ac:dyDescent="0.35">
      <c r="B15" s="59">
        <v>11882</v>
      </c>
      <c r="C15" s="47">
        <v>11519</v>
      </c>
      <c r="D15" s="47">
        <v>7565</v>
      </c>
      <c r="E15" s="48" t="s">
        <v>84</v>
      </c>
      <c r="F15"/>
      <c r="G15" s="43" t="s">
        <v>116</v>
      </c>
      <c r="H15" s="44" t="s">
        <v>108</v>
      </c>
    </row>
    <row r="16" spans="1:13" x14ac:dyDescent="0.35">
      <c r="B16" s="59">
        <v>11676</v>
      </c>
      <c r="C16" s="47">
        <v>6344</v>
      </c>
      <c r="D16" s="47">
        <v>5406</v>
      </c>
      <c r="E16" s="48" t="s">
        <v>85</v>
      </c>
      <c r="F16"/>
      <c r="G16" s="43" t="s">
        <v>55</v>
      </c>
      <c r="H16" s="44">
        <f>INDEX(B15:E23,MATCH(H14,E15:E23,0),MATCH(H15,B14:D14,0))</f>
        <v>12560</v>
      </c>
    </row>
    <row r="17" spans="2:8" x14ac:dyDescent="0.35">
      <c r="B17" s="59">
        <v>10296</v>
      </c>
      <c r="C17" s="47">
        <v>9693</v>
      </c>
      <c r="D17" s="47">
        <v>11867</v>
      </c>
      <c r="E17" s="48" t="s">
        <v>86</v>
      </c>
      <c r="F17"/>
      <c r="G17"/>
      <c r="H17"/>
    </row>
    <row r="18" spans="2:8" x14ac:dyDescent="0.35">
      <c r="B18" s="59">
        <v>4752</v>
      </c>
      <c r="C18" s="47">
        <v>6786</v>
      </c>
      <c r="D18" s="47">
        <v>12560</v>
      </c>
      <c r="E18" s="48" t="s">
        <v>88</v>
      </c>
      <c r="F18"/>
      <c r="G18"/>
      <c r="H18"/>
    </row>
    <row r="19" spans="2:8" x14ac:dyDescent="0.35">
      <c r="B19" s="59">
        <v>10699</v>
      </c>
      <c r="C19" s="47">
        <v>5194</v>
      </c>
      <c r="D19" s="47">
        <v>10525</v>
      </c>
      <c r="E19" s="48" t="s">
        <v>87</v>
      </c>
      <c r="F19"/>
      <c r="G19"/>
      <c r="H19"/>
    </row>
    <row r="20" spans="2:8" x14ac:dyDescent="0.35">
      <c r="B20" s="59">
        <v>10404</v>
      </c>
      <c r="C20" s="47">
        <v>8487</v>
      </c>
      <c r="D20" s="47">
        <v>8964</v>
      </c>
      <c r="E20" s="48" t="s">
        <v>89</v>
      </c>
      <c r="F20"/>
      <c r="G20"/>
      <c r="H20"/>
    </row>
    <row r="21" spans="2:8" x14ac:dyDescent="0.35">
      <c r="B21" s="59">
        <v>11841</v>
      </c>
      <c r="C21" s="47">
        <v>4689</v>
      </c>
      <c r="D21" s="47">
        <v>10992</v>
      </c>
      <c r="E21" s="48" t="s">
        <v>109</v>
      </c>
      <c r="F21"/>
      <c r="G21"/>
      <c r="H21"/>
    </row>
    <row r="22" spans="2:8" x14ac:dyDescent="0.35">
      <c r="B22" s="59">
        <v>5259</v>
      </c>
      <c r="C22" s="47">
        <v>3900</v>
      </c>
      <c r="D22" s="47">
        <v>7845</v>
      </c>
      <c r="E22" s="48" t="s">
        <v>110</v>
      </c>
      <c r="F22"/>
      <c r="G22"/>
      <c r="H22"/>
    </row>
    <row r="23" spans="2:8" x14ac:dyDescent="0.35">
      <c r="B23" s="59">
        <v>6364</v>
      </c>
      <c r="C23" s="47">
        <v>6183</v>
      </c>
      <c r="D23" s="47">
        <v>4759</v>
      </c>
      <c r="E23" s="48" t="s">
        <v>111</v>
      </c>
      <c r="F23"/>
      <c r="G23"/>
      <c r="H23"/>
    </row>
  </sheetData>
  <mergeCells count="1">
    <mergeCell ref="A1:E1"/>
  </mergeCells>
  <dataValidations count="2">
    <dataValidation type="list" allowBlank="1" showInputMessage="1" showErrorMessage="1" sqref="H14" xr:uid="{00000000-0002-0000-0400-000000000000}">
      <formula1>$E$15:$E$23</formula1>
    </dataValidation>
    <dataValidation type="list" allowBlank="1" showInputMessage="1" showErrorMessage="1" sqref="H15" xr:uid="{00000000-0002-0000-0400-000001000000}">
      <formula1>$B$14:$D$14</formula1>
    </dataValidation>
  </dataValidations>
  <pageMargins left="0.75" right="0.75" top="1" bottom="1" header="0.5" footer="0.5"/>
  <pageSetup orientation="portrait" horizontalDpi="4294967292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1" ma:contentTypeDescription="Create a new document." ma:contentTypeScope="" ma:versionID="1115a3a5780b04eb9e19fe48d67769d6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f93bc77c4f249538b0f8abd326b665e5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21f21c-461b-4774-b1d3-d56dfe058ef7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7be1f-df24-4ed7-b2fe-cb2789e1ed5f" xsi:nil="true"/>
    <lcf76f155ced4ddcb4097134ff3c332f xmlns="773ae310-5f92-4ed5-9a69-95b833cc21b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C1057F-C48F-4773-8086-D793108170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3ae310-5f92-4ed5-9a69-95b833cc21b2"/>
    <ds:schemaRef ds:uri="7217be1f-df24-4ed7-b2fe-cb2789e1ed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7C7645-C913-435B-AF2F-7FA4DD86FB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EC98F8-C3A7-44A2-8889-7F9AB69D5349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schemas.microsoft.com/office/2006/documentManagement/types"/>
    <ds:schemaRef ds:uri="0c046fd1-ab0c-4761-a258-6580c22dd217"/>
    <ds:schemaRef ds:uri="49634f37-f7b4-4fea-9698-772b68ba84c3"/>
    <ds:schemaRef ds:uri="http://www.w3.org/XML/1998/namespace"/>
    <ds:schemaRef ds:uri="http://purl.org/dc/elements/1.1/"/>
    <ds:schemaRef ds:uri="7217be1f-df24-4ed7-b2fe-cb2789e1ed5f"/>
    <ds:schemaRef ds:uri="773ae310-5f92-4ed5-9a69-95b833cc21b2"/>
  </ds:schemaRefs>
</ds:datastoreItem>
</file>

<file path=docMetadata/LabelInfo.xml><?xml version="1.0" encoding="utf-8"?>
<clbl:labelList xmlns:clbl="http://schemas.microsoft.com/office/2020/mipLabelMetadata">
  <clbl:label id="{4913136b-a631-429f-8647-b22117449231}" enabled="0" method="" siteId="{4913136b-a631-429f-8647-b221174492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Vlookup</vt:lpstr>
      <vt:lpstr>Hlookup</vt:lpstr>
      <vt:lpstr>Index</vt:lpstr>
      <vt:lpstr>Match</vt:lpstr>
      <vt:lpstr>Index_Match</vt:lpstr>
      <vt:lpstr>Departement</vt:lpstr>
      <vt:lpstr>First</vt:lpstr>
      <vt:lpstr>Full_name</vt:lpstr>
      <vt:lpstr>ID</vt:lpstr>
      <vt:lpstr>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Nouran Elzeky</dc:creator>
  <cp:lastModifiedBy>Menna AbdelNasser Ramadan Elnagar</cp:lastModifiedBy>
  <dcterms:created xsi:type="dcterms:W3CDTF">2025-01-29T08:21:11Z</dcterms:created>
  <dcterms:modified xsi:type="dcterms:W3CDTF">2026-08-21T22:23:23Z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</Properties>
</file>